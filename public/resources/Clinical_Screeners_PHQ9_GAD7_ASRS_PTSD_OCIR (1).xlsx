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PHQ9" sheetId="2" r:id="rId6"/>
    <sheet state="visible" name="GAD7" sheetId="3" r:id="rId7"/>
    <sheet state="visible" name="ASRS" sheetId="4" r:id="rId8"/>
    <sheet state="visible" name="PC_PTSD_5" sheetId="5" r:id="rId9"/>
    <sheet state="visible" name="OCIR" sheetId="6" r:id="rId10"/>
  </sheets>
  <definedNames/>
  <calcPr/>
</workbook>
</file>

<file path=xl/sharedStrings.xml><?xml version="1.0" encoding="utf-8"?>
<sst xmlns="http://schemas.openxmlformats.org/spreadsheetml/2006/main" count="270" uniqueCount="171">
  <si>
    <t>Targeted Clinical Screeners — Extracted Data</t>
  </si>
  <si>
    <t>PHQ-9 (low mood), GAD-7 (excessive worry), ASRS v1.1 (inattention/hyperactivity), PC-PTSD-5 (trauma), OCI-R (obsessions/compulsions) — extracted from official published sources for use as clinical-spec input for a Dynamic Assessment Engine.</t>
  </si>
  <si>
    <t>Sheets</t>
  </si>
  <si>
    <t>Sheet</t>
  </si>
  <si>
    <t>Instrument</t>
  </si>
  <si>
    <t>Items</t>
  </si>
  <si>
    <t>Trigger (per your triage engine)</t>
  </si>
  <si>
    <t>Public domain / free to use?</t>
  </si>
  <si>
    <t>PHQ9</t>
  </si>
  <si>
    <t>Patient Health Questionnaire-9</t>
  </si>
  <si>
    <t>9 + 1 impairment item</t>
  </si>
  <si>
    <t>Low mood</t>
  </si>
  <si>
    <t>Yes — Pfizer released without copyright restriction, 2010</t>
  </si>
  <si>
    <t>GAD7</t>
  </si>
  <si>
    <t>Generalized Anxiety Disorder-7</t>
  </si>
  <si>
    <t>7</t>
  </si>
  <si>
    <t>Excessive worry</t>
  </si>
  <si>
    <t>Yes — same Pfizer release as PHQ-9</t>
  </si>
  <si>
    <t>ASRS</t>
  </si>
  <si>
    <t>Adult ADHD Self-Report Scale v1.1</t>
  </si>
  <si>
    <t>18 (Part A = first 6)</t>
  </si>
  <si>
    <t>Inattention/hyperactivity</t>
  </si>
  <si>
    <t>Copyrighted (WHO) — widely reprinted "with permission," confirm formal license before commercial use</t>
  </si>
  <si>
    <t>PC_PTSD_5</t>
  </si>
  <si>
    <t>Primary Care PTSD Screen for DSM-5</t>
  </si>
  <si>
    <t>1 gate + 5</t>
  </si>
  <si>
    <t>Trauma</t>
  </si>
  <si>
    <t>Yes — public domain, National Center for PTSD / VA</t>
  </si>
  <si>
    <t>OCIR</t>
  </si>
  <si>
    <t>Obsessive-Compulsive Inventory-Revised</t>
  </si>
  <si>
    <t>18</t>
  </si>
  <si>
    <t>Obsessions/compulsions</t>
  </si>
  <si>
    <t>Unclear — "Copyright Edna B. Foa 2002" printed on the scale itself, no public free-use statement found. Confirm with Legal before shipping in-app.</t>
  </si>
  <si>
    <t>Licensing — read before building anything user-facing</t>
  </si>
  <si>
    <t>• PHQ-9, GAD-7, and PC-PTSD-5 can be reproduced and embedded without permission — confirmed via Pfizer's 2010 public release (PHQ-9/GAD-7) and the VA National Center for PTSD's public-domain statement (PC-PTSD-5).</t>
  </si>
  <si>
    <t>• ASRS v1.1 is copyrighted by the World Health Organization. Every official reprint says "Reprinted with permission of WHO" — that implies permission was sought, not that it's blanket-free for any use. NYU's Technology Opportunities &amp; Ventures office lists a formal ASRS license product, which suggests commercial embedding may need a real license, not just attribution. Flagging for Legal to confirm — do not treat as cleared the way PHQ-9/GAD-7/PC-PTSD-5 are.</t>
  </si>
  <si>
    <t>• OCI-R prints "Copyright by Edna B. Foa 2002" directly on the instrument with no public free-use grant found in this research pass. Treat as needs-permission until Legal confirms otherwise — same posture as the AI-vendor-DPA and other unresolved-rights items already flagged elsewhere in Attrangi's legal docs.</t>
  </si>
  <si>
    <t>• This sheet documents what was found in this research pass, not a legal clearance. It is not legal advice — a licensed lawyer should confirm reproduction/commercial-use rights for ASRS and OCI-R before either ships in a paid product.</t>
  </si>
  <si>
    <t>How to use</t>
  </si>
  <si>
    <t>• Each item sheet has a yellow Score input column with a dropdown restricting entry to valid values. Scoring Summary blocks below recalculate automatically via formula.</t>
  </si>
  <si>
    <t>• Severity bands and diagnostic-screen flags reproduce each instrument's own published cutoffs — decision support only, not a diagnosis. Every sheet carries its source instrument's own disclaimer language.</t>
  </si>
  <si>
    <t>• PHQ-9 item 9 (self-harm/suicidal ideation) has a flagged crisis-routing note on its sheet, consistent with the crisis-escalation work already logged in 04_Clinical/crisis_escalation_sop_synthesis.md — any score above 0 on that item should route to the same escalation path, not just add to the total score.</t>
  </si>
  <si>
    <t>PHQ-9 — Patient Health Questionnaire (Depression / Low Mood)</t>
  </si>
  <si>
    <t>Over the last 2 weeks, how often have you been bothered by any of the following problems? Public domain (Pfizer, released 2010) — free to reproduce, no permission required.</t>
  </si>
  <si>
    <t>Item #</t>
  </si>
  <si>
    <t>Item Text</t>
  </si>
  <si>
    <t>Score</t>
  </si>
  <si>
    <t>Response Scale</t>
  </si>
  <si>
    <t>Notes</t>
  </si>
  <si>
    <t>Little interest or pleasure in doing things</t>
  </si>
  <si>
    <t>0=Not at all 1=Several days 2=More than half the days 3=Nearly every day</t>
  </si>
  <si>
    <t>Feeling down, depressed, or hopeless</t>
  </si>
  <si>
    <t>Trouble falling or staying asleep, or sleeping too much</t>
  </si>
  <si>
    <t>Feeling tired or having little energy</t>
  </si>
  <si>
    <t>Poor appetite or overeating</t>
  </si>
  <si>
    <t>Feeling bad about yourself — or that you are a failure or have let yourself or your family down</t>
  </si>
  <si>
    <t>Trouble concentrating on things, such as reading the newspaper or watching television</t>
  </si>
  <si>
    <t>Moving or speaking so slowly that other people could have noticed? Or the opposite — being so fidgety or restless that you have been moving around a lot more than usual</t>
  </si>
  <si>
    <t>Thoughts that you would be better off dead, or of hurting yourself in some way</t>
  </si>
  <si>
    <t>CRISIS ROUTING: any score &gt;0 routes to crisis-escalation workflow (see 04_Clinical/crisis_escalation_sop_synthesis.md), not just the total score</t>
  </si>
  <si>
    <t>—</t>
  </si>
  <si>
    <t>If you checked off any problems, how difficult have these problems made it for you to do your work, take care of things at home, or get along with other people?</t>
  </si>
  <si>
    <t>0=Not difficult at all 1=Somewhat difficult 2=Very difficult 3=Extremely difficult</t>
  </si>
  <si>
    <t>Scoring Summary</t>
  </si>
  <si>
    <t>Metric</t>
  </si>
  <si>
    <t>Result</t>
  </si>
  <si>
    <t>Total Score (items 1-9, range 0-27)</t>
  </si>
  <si>
    <t>Severity</t>
  </si>
  <si>
    <t>Item 9 (self-harm) flag</t>
  </si>
  <si>
    <t>Source: Spitzer, Kroenke, Williams (Pfizer). Public domain since 2010 — no permission required to reproduce, translate, display, or distribute.</t>
  </si>
  <si>
    <t>GAD-7 — Generalized Anxiety Disorder Scale (Excessive Worry)</t>
  </si>
  <si>
    <t>Over the last 2 weeks, how often have you been bothered by the following problems? Public domain (Pfizer, released 2010) — free to reproduce, no permission required.</t>
  </si>
  <si>
    <t>Feeling nervous, anxious, or on edge</t>
  </si>
  <si>
    <t>Not being able to stop or control worrying</t>
  </si>
  <si>
    <t>Worrying too much about different things</t>
  </si>
  <si>
    <t>Trouble relaxing</t>
  </si>
  <si>
    <t>Being so restless that it is hard to sit still</t>
  </si>
  <si>
    <t>Becoming easily annoyed or irritable</t>
  </si>
  <si>
    <t>Feeling afraid, as if something awful might happen</t>
  </si>
  <si>
    <t>Total Score (items 1-7, range 0-21)</t>
  </si>
  <si>
    <t>Source: Spitzer, Kroenke, Williams, Lowe (Pfizer). Public domain since 2010.</t>
  </si>
  <si>
    <t>ASRS v1.1 — Adult ADHD Self-Report Scale (Inattention/Hyperactivity)</t>
  </si>
  <si>
    <t>Ask the respondent to answer each question and circle the response that best describes how they have felt over the past 6 months. For adults 18+. Copyrighted by the World Health Organization — reprinted with permission in every official source found; confirm formal licensing before commercial/app use (see README).</t>
  </si>
  <si>
    <t>Part</t>
  </si>
  <si>
    <t>Domain</t>
  </si>
  <si>
    <t>1=Never 2=Rarely 3=Sometimes 4=Often 5=Very Often</t>
  </si>
  <si>
    <t>Positive threshold</t>
  </si>
  <si>
    <t>A</t>
  </si>
  <si>
    <t>Inattention</t>
  </si>
  <si>
    <t>How often do you have trouble wrapping up the final details of a project, once the challenging parts have been done?</t>
  </si>
  <si>
    <t>Sometimes+</t>
  </si>
  <si>
    <t>How often do you have difficulty getting things in order when you have to do a task that requires organization?</t>
  </si>
  <si>
    <t>How often do you have problems remembering appointments or obligations?</t>
  </si>
  <si>
    <t>When you have a task that requires a lot of thought, how often do you avoid or delay getting started?</t>
  </si>
  <si>
    <t>Often+</t>
  </si>
  <si>
    <t>Hyperactivity-Impulsivity</t>
  </si>
  <si>
    <t>How often do you fidget or squirm with your hands or feet when you have to sit down for a long time?</t>
  </si>
  <si>
    <t>How often do you feel overly active and compelled to do things, like you were driven by a motor?</t>
  </si>
  <si>
    <t>B</t>
  </si>
  <si>
    <t>How often do you make careless mistakes when you have to work on a boring or difficult project?</t>
  </si>
  <si>
    <t>How often do you have difficulty keeping your attention when you are doing boring or repetitive work?</t>
  </si>
  <si>
    <t>How often do you have difficulty concentrating on what people say to you, even when they are speaking to you directly?</t>
  </si>
  <si>
    <t>How often do you misplace or have difficulty finding things at home or at work?</t>
  </si>
  <si>
    <t>How often are you distracted by activity or noise around you?</t>
  </si>
  <si>
    <t>How often do you leave your seat in meetings or other situations in which you are expected to remain seated?</t>
  </si>
  <si>
    <t>How often do you feel restless or fidgety?</t>
  </si>
  <si>
    <t>How often do you have difficulty unwinding and relaxing when you have time to yourself?</t>
  </si>
  <si>
    <t>How often do you find yourself talking too much when you are in social situations?</t>
  </si>
  <si>
    <t>When you're in a conversation, how often do you find yourself finishing the sentences of the people you are talking to, before they can finish them themselves?</t>
  </si>
  <si>
    <t>How often do you have difficulty waiting your turn in situations when turn taking is required?</t>
  </si>
  <si>
    <t>How often do you interrupt others when they are busy?</t>
  </si>
  <si>
    <t>Scoring Summary — Part A (6-item screener)</t>
  </si>
  <si>
    <t>Part A positive-item count (need &gt;=4 of 6)</t>
  </si>
  <si>
    <t>Part A screen result</t>
  </si>
  <si>
    <t>Scoring Summary — Full 18-item checklist (context only, no numeric cutoff)</t>
  </si>
  <si>
    <t>Total positive items (all 18)</t>
  </si>
  <si>
    <t>Positive items — Inattention domain (of 9)</t>
  </si>
  <si>
    <t>Positive items — Hyperactivity-Impulsivity domain (of 9)</t>
  </si>
  <si>
    <t>Source: Kessler et al. 2005, WHO/Harvard/NYU Workgroup on Adult ADHD. Screener validated sensitivity 68.7% / specificity 99.5% on Part A alone. This is a screening tool, not a diagnostic instrument — age 18+ per instrument design (flag against Attrangi's 16-26 wedge, same as Vanderbilt handoff).</t>
  </si>
  <si>
    <t>PC-PTSD-5 — Primary Care PTSD Screen for DSM-5 (Trauma)</t>
  </si>
  <si>
    <t>Public domain — developed by the VA National Center for PTSD, not copyrighted, free to use without permission.</t>
  </si>
  <si>
    <t>Gate question</t>
  </si>
  <si>
    <t>Sometimes things happen to people that are unusually or especially frightening, horrible, or traumatic. For example: a serious accident or fire; a physical or sexual assault or abuse; an earthquake or flood; a war; seeing someone be killed or seriously injured; having a loved one die through homicide or suicide. Have you ever experienced this kind of event?</t>
  </si>
  <si>
    <t>If Yes: in the past month, have you...</t>
  </si>
  <si>
    <t>Response</t>
  </si>
  <si>
    <t>had nightmares about the event(s) or thought about the event(s) when you did not want to?</t>
  </si>
  <si>
    <t>tried hard not to think about the event(s) or went out of your way to avoid situations that reminded you of the event(s)?</t>
  </si>
  <si>
    <t>been constantly on guard, watchful, or easily startled?</t>
  </si>
  <si>
    <t>felt numb or detached from people, activities, or your surroundings?</t>
  </si>
  <si>
    <t>felt guilty or unable to stop blaming yourself or others for the event(s) or any problems the event(s) may have caused?</t>
  </si>
  <si>
    <t>Trauma exposure (gate question)</t>
  </si>
  <si>
    <t>Total score (0-5; only scored if gate = "Yes")</t>
  </si>
  <si>
    <t>Screen result (cutoff 3 = sensitive, 4 = more specific)</t>
  </si>
  <si>
    <t>Source: Prins, Bovin, Kimerling, Kaloupek, Marx, Pless Kaiser, Schnurr (2015). National Center for PTSD. Public domain, ptsd.va.gov.</t>
  </si>
  <si>
    <t>OCI-R — Obsessive-Compulsive Inventory-Revised (Obsessions/Compulsions)</t>
  </si>
  <si>
    <t>The following statements refer to experiences in everyday life. Circle the number that best describes how much that experience has DISTRESSED or BOTHERED you during the PAST MONTH. Copyright Edna B. Foa, 2002 — no public free-use statement found; confirm licensing with Legal before shipping in-app (see README).</t>
  </si>
  <si>
    <t>Subscale</t>
  </si>
  <si>
    <t>Score (0-4)</t>
  </si>
  <si>
    <t>Hoarding</t>
  </si>
  <si>
    <t>I have saved up so many things that they get in the way.</t>
  </si>
  <si>
    <t>Checking</t>
  </si>
  <si>
    <t>I check things more often than necessary.</t>
  </si>
  <si>
    <t>Ordering</t>
  </si>
  <si>
    <t>I get upset if objects are not arranged properly.</t>
  </si>
  <si>
    <t>Neutralizing</t>
  </si>
  <si>
    <t>I feel compelled to count while I am doing things.</t>
  </si>
  <si>
    <t>Washing</t>
  </si>
  <si>
    <t>I find it difficult to touch an object when I know it has been touched by strangers or certain people.</t>
  </si>
  <si>
    <t>Obsessing</t>
  </si>
  <si>
    <t>I find it difficult to control my own thoughts.</t>
  </si>
  <si>
    <t>I collect things I don't need.</t>
  </si>
  <si>
    <t>I repeatedly check doors, windows, drawers, etc.</t>
  </si>
  <si>
    <t>I get upset if others change the way I have arranged things.</t>
  </si>
  <si>
    <t>I feel I have to repeat certain numbers.</t>
  </si>
  <si>
    <t>I sometimes have to wash or clean myself simply because I feel contaminated.</t>
  </si>
  <si>
    <t>I am upset by unpleasant thoughts that come into my mind against my will.</t>
  </si>
  <si>
    <t>I avoid throwing things away because I am afraid I might need them later.</t>
  </si>
  <si>
    <t>I repeatedly check gas and water taps and light switches after turning them off.</t>
  </si>
  <si>
    <t>I need things to be arranged in a particular order.</t>
  </si>
  <si>
    <t>I feel that there are good and bad numbers.</t>
  </si>
  <si>
    <t>I wash my hands more often and longer than necessary.</t>
  </si>
  <si>
    <t>I frequently get nasty thoughts and have difficulty in getting rid of them.</t>
  </si>
  <si>
    <t>Total Score (items 1-18, range 0-72)</t>
  </si>
  <si>
    <t>Hoarding subscale mean (of 3 items)</t>
  </si>
  <si>
    <t>Checking subscale mean (of 3 items)</t>
  </si>
  <si>
    <t>Ordering subscale mean (of 3 items)</t>
  </si>
  <si>
    <t>Neutralizing subscale mean (of 3 items)</t>
  </si>
  <si>
    <t>Washing subscale mean (of 3 items)</t>
  </si>
  <si>
    <t>Obsessing subscale mean (of 3 items)</t>
  </si>
  <si>
    <t>Screen flag</t>
  </si>
  <si>
    <t>Source: Foa, Huppert, Leiberg, Langner, Kichic, Hajcak, Salkovskis (2002). Two cutoffs appear in the literature: the scale's own manual states total &gt;=18 (or subscale mean &gt;=2.5) suggests OCD; other validation work cites &gt;=21 as the clinical cutoff. Both transcribed here rather than picking one — flag for Clinical to confirm which Attrangi should use.</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</si>
</sst>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4.0"/>
      <color theme="1"/>
      <name val="Arial"/>
    </font>
    <font>
      <i/>
      <sz val="9.0"/>
      <color rgb="FF555555"/>
      <name val="Arial"/>
    </font>
    <font>
      <b/>
      <sz val="12.0"/>
      <color theme="1"/>
      <name val="Arial"/>
    </font>
    <font>
      <b/>
      <sz val="11.0"/>
      <color rgb="FFFFFFFF"/>
      <name val="Arial"/>
    </font>
    <font>
      <sz val="10.0"/>
      <color theme="1"/>
      <name val="Arial"/>
    </font>
    <font>
      <b/>
      <sz val="13.0"/>
      <color theme="1"/>
      <name val="Arial"/>
    </font>
    <font>
      <sz val="11.0"/>
      <color theme="1"/>
      <name val="Calibri"/>
    </font>
    <font>
      <b/>
      <sz val="10.0"/>
      <color theme="1"/>
      <name val="Arial"/>
    </font>
    <font/>
  </fonts>
  <fills count="7">
    <fill>
      <patternFill patternType="none"/>
    </fill>
    <fill>
      <patternFill patternType="lightGray"/>
    </fill>
    <fill>
      <patternFill patternType="solid">
        <fgColor rgb="FF1F4E78"/>
        <bgColor rgb="FF1F4E78"/>
      </patternFill>
    </fill>
    <fill>
      <patternFill patternType="solid">
        <fgColor rgb="FFFFFF00"/>
        <bgColor rgb="FFFFFF00"/>
      </patternFill>
    </fill>
    <fill>
      <patternFill patternType="solid">
        <fgColor rgb="FFFCE4D6"/>
        <bgColor rgb="FFFCE4D6"/>
      </patternFill>
    </fill>
    <fill>
      <patternFill patternType="solid">
        <fgColor rgb="FFF2F2F2"/>
        <bgColor rgb="FFF2F2F2"/>
      </patternFill>
    </fill>
    <fill>
      <patternFill patternType="solid">
        <fgColor rgb="FFD9E1F2"/>
        <bgColor rgb="FFD9E1F2"/>
      </patternFill>
    </fill>
  </fills>
  <borders count="6">
    <border/>
    <border>
      <left style="thin">
        <color rgb="FFBFBFBF"/>
      </left>
      <right style="thin">
        <color rgb="FFBFBFBF"/>
      </right>
      <top style="thin">
        <color rgb="FFBFBFBF"/>
      </top>
      <bottom style="thin">
        <color rgb="FFBFBFBF"/>
      </bottom>
    </border>
    <border>
      <left/>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1"/>
    </xf>
    <xf borderId="0" fillId="0" fontId="3" numFmtId="0" xfId="0" applyAlignment="1" applyFont="1">
      <alignment shrinkToFit="0" vertical="bottom" wrapText="0"/>
    </xf>
    <xf borderId="1" fillId="2" fontId="4" numFmtId="0" xfId="0" applyAlignment="1" applyBorder="1" applyFill="1" applyFont="1">
      <alignment horizontal="center" shrinkToFit="0" vertical="center" wrapText="1"/>
    </xf>
    <xf borderId="1" fillId="0" fontId="5" numFmtId="0" xfId="0" applyAlignment="1" applyBorder="1" applyFont="1">
      <alignment shrinkToFit="0" vertical="bottom" wrapText="1"/>
    </xf>
    <xf borderId="0" fillId="0" fontId="5" numFmtId="0" xfId="0" applyAlignment="1" applyFont="1">
      <alignment shrinkToFit="0" vertical="bottom" wrapText="1"/>
    </xf>
    <xf borderId="0" fillId="0" fontId="6" numFmtId="0" xfId="0" applyAlignment="1" applyFont="1">
      <alignment shrinkToFit="0" vertical="bottom" wrapText="0"/>
    </xf>
    <xf borderId="0" fillId="0" fontId="2" numFmtId="0" xfId="0" applyAlignment="1" applyFont="1">
      <alignment shrinkToFit="0" vertical="bottom" wrapText="0"/>
    </xf>
    <xf borderId="1" fillId="0" fontId="5" numFmtId="0" xfId="0" applyAlignment="1" applyBorder="1" applyFont="1">
      <alignment shrinkToFit="0" vertical="bottom" wrapText="0"/>
    </xf>
    <xf borderId="1" fillId="3" fontId="7" numFmtId="0" xfId="0" applyAlignment="1" applyBorder="1" applyFill="1" applyFont="1">
      <alignment horizontal="center" shrinkToFit="0" vertical="bottom" wrapText="0"/>
    </xf>
    <xf borderId="1" fillId="0" fontId="2" numFmtId="0" xfId="0" applyAlignment="1" applyBorder="1" applyFont="1">
      <alignment shrinkToFit="0" vertical="bottom" wrapText="0"/>
    </xf>
    <xf borderId="1" fillId="0" fontId="7" numFmtId="0" xfId="0" applyAlignment="1" applyBorder="1" applyFont="1">
      <alignment shrinkToFit="0" vertical="bottom" wrapText="0"/>
    </xf>
    <xf borderId="1" fillId="4" fontId="8" numFmtId="0" xfId="0" applyAlignment="1" applyBorder="1" applyFill="1" applyFont="1">
      <alignment shrinkToFit="0" vertical="bottom" wrapText="1"/>
    </xf>
    <xf borderId="0" fillId="0" fontId="8" numFmtId="0" xfId="0" applyAlignment="1" applyFont="1">
      <alignment shrinkToFit="0" vertical="bottom" wrapText="0"/>
    </xf>
    <xf borderId="0" fillId="0" fontId="5" numFmtId="0" xfId="0" applyAlignment="1" applyFont="1">
      <alignment shrinkToFit="0" vertical="bottom" wrapText="0"/>
    </xf>
    <xf borderId="2" fillId="5" fontId="8" numFmtId="0" xfId="0" applyAlignment="1" applyBorder="1" applyFill="1" applyFont="1">
      <alignment shrinkToFit="0" vertical="bottom" wrapText="0"/>
    </xf>
    <xf borderId="2" fillId="4" fontId="8" numFmtId="0" xfId="0" applyAlignment="1" applyBorder="1" applyFont="1">
      <alignment shrinkToFit="0" vertical="bottom" wrapText="0"/>
    </xf>
    <xf borderId="1" fillId="2" fontId="2" numFmtId="0" xfId="0" applyAlignment="1" applyBorder="1" applyFont="1">
      <alignment horizontal="center" shrinkToFit="0" vertical="center" wrapText="1"/>
    </xf>
    <xf borderId="1" fillId="6" fontId="5" numFmtId="0" xfId="0" applyAlignment="1" applyBorder="1" applyFill="1" applyFont="1">
      <alignment shrinkToFit="0" vertical="bottom" wrapText="0"/>
    </xf>
    <xf borderId="3" fillId="0" fontId="5" numFmtId="0" xfId="0" applyAlignment="1" applyBorder="1" applyFont="1">
      <alignment shrinkToFit="0" vertical="bottom" wrapText="1"/>
    </xf>
    <xf borderId="4" fillId="0" fontId="9" numFmtId="0" xfId="0" applyBorder="1" applyFont="1"/>
    <xf borderId="5" fillId="0"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0"/>
    <col customWidth="1" min="2" max="2" width="34.0"/>
    <col customWidth="1" min="3" max="3" width="16.0"/>
    <col customWidth="1" min="4" max="4" width="28.0"/>
    <col customWidth="1" min="5" max="5" width="46.0"/>
    <col customWidth="1" min="6" max="6" width="10.0"/>
    <col customWidth="1" min="7" max="26" width="8.71"/>
  </cols>
  <sheetData>
    <row r="1">
      <c r="A1" s="1" t="s">
        <v>0</v>
      </c>
    </row>
    <row r="2" ht="30.0" customHeight="1">
      <c r="A2" s="2" t="s">
        <v>1</v>
      </c>
    </row>
    <row r="4">
      <c r="A4" s="3" t="s">
        <v>2</v>
      </c>
    </row>
    <row r="5">
      <c r="A5" s="4" t="s">
        <v>3</v>
      </c>
      <c r="B5" s="4" t="s">
        <v>4</v>
      </c>
      <c r="C5" s="4" t="s">
        <v>5</v>
      </c>
      <c r="D5" s="4" t="s">
        <v>6</v>
      </c>
      <c r="E5" s="4" t="s">
        <v>7</v>
      </c>
    </row>
    <row r="6">
      <c r="A6" s="5" t="s">
        <v>8</v>
      </c>
      <c r="B6" s="5" t="s">
        <v>9</v>
      </c>
      <c r="C6" s="5" t="s">
        <v>10</v>
      </c>
      <c r="D6" s="5" t="s">
        <v>11</v>
      </c>
      <c r="E6" s="5" t="s">
        <v>12</v>
      </c>
    </row>
    <row r="7">
      <c r="A7" s="5" t="s">
        <v>13</v>
      </c>
      <c r="B7" s="5" t="s">
        <v>14</v>
      </c>
      <c r="C7" s="5" t="s">
        <v>15</v>
      </c>
      <c r="D7" s="5" t="s">
        <v>16</v>
      </c>
      <c r="E7" s="5" t="s">
        <v>17</v>
      </c>
    </row>
    <row r="8">
      <c r="A8" s="5" t="s">
        <v>18</v>
      </c>
      <c r="B8" s="5" t="s">
        <v>19</v>
      </c>
      <c r="C8" s="5" t="s">
        <v>20</v>
      </c>
      <c r="D8" s="5" t="s">
        <v>21</v>
      </c>
      <c r="E8" s="5" t="s">
        <v>22</v>
      </c>
    </row>
    <row r="9">
      <c r="A9" s="5" t="s">
        <v>23</v>
      </c>
      <c r="B9" s="5" t="s">
        <v>24</v>
      </c>
      <c r="C9" s="5" t="s">
        <v>25</v>
      </c>
      <c r="D9" s="5" t="s">
        <v>26</v>
      </c>
      <c r="E9" s="5" t="s">
        <v>27</v>
      </c>
    </row>
    <row r="10">
      <c r="A10" s="5" t="s">
        <v>28</v>
      </c>
      <c r="B10" s="5" t="s">
        <v>29</v>
      </c>
      <c r="C10" s="5" t="s">
        <v>30</v>
      </c>
      <c r="D10" s="5" t="s">
        <v>31</v>
      </c>
      <c r="E10" s="5" t="s">
        <v>32</v>
      </c>
    </row>
    <row r="12">
      <c r="A12" s="3" t="s">
        <v>33</v>
      </c>
    </row>
    <row r="13" ht="39.75" customHeight="1">
      <c r="A13" s="6" t="s">
        <v>34</v>
      </c>
    </row>
    <row r="14" ht="39.75" customHeight="1">
      <c r="A14" s="6" t="s">
        <v>35</v>
      </c>
    </row>
    <row r="15" ht="39.75" customHeight="1">
      <c r="A15" s="6" t="s">
        <v>36</v>
      </c>
    </row>
    <row r="16" ht="39.75" customHeight="1">
      <c r="A16" s="6" t="s">
        <v>37</v>
      </c>
    </row>
    <row r="18">
      <c r="A18" s="3" t="s">
        <v>38</v>
      </c>
    </row>
    <row r="19" ht="30.0" customHeight="1">
      <c r="A19" s="6" t="s">
        <v>39</v>
      </c>
    </row>
    <row r="20" ht="30.0" customHeight="1">
      <c r="A20" s="6" t="s">
        <v>40</v>
      </c>
    </row>
    <row r="21" ht="30.0" customHeight="1">
      <c r="A21" s="6" t="s">
        <v>41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18:F18"/>
    <mergeCell ref="A19:F19"/>
    <mergeCell ref="A20:F20"/>
    <mergeCell ref="A21:F21"/>
    <mergeCell ref="A2:F2"/>
    <mergeCell ref="A4:F4"/>
    <mergeCell ref="A12:F12"/>
    <mergeCell ref="A13:F13"/>
    <mergeCell ref="A14:F14"/>
    <mergeCell ref="A15:F15"/>
    <mergeCell ref="A16:F16"/>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60.0"/>
    <col customWidth="1" min="3" max="3" width="9.0"/>
    <col customWidth="1" min="4" max="5" width="40.0"/>
    <col customWidth="1" min="6" max="26" width="8.71"/>
  </cols>
  <sheetData>
    <row r="1">
      <c r="A1" s="7" t="s">
        <v>42</v>
      </c>
    </row>
    <row r="2" ht="19.5" customHeight="1">
      <c r="A2" s="8" t="s">
        <v>43</v>
      </c>
    </row>
    <row r="4">
      <c r="A4" s="4" t="s">
        <v>44</v>
      </c>
      <c r="B4" s="4" t="s">
        <v>45</v>
      </c>
      <c r="C4" s="4" t="s">
        <v>46</v>
      </c>
      <c r="D4" s="4" t="s">
        <v>47</v>
      </c>
      <c r="E4" s="4" t="s">
        <v>48</v>
      </c>
    </row>
    <row r="5">
      <c r="A5" s="9">
        <v>1.0</v>
      </c>
      <c r="B5" s="5" t="s">
        <v>49</v>
      </c>
      <c r="C5" s="10"/>
      <c r="D5" s="11" t="s">
        <v>50</v>
      </c>
      <c r="E5" s="12"/>
    </row>
    <row r="6">
      <c r="A6" s="9">
        <v>2.0</v>
      </c>
      <c r="B6" s="5" t="s">
        <v>51</v>
      </c>
      <c r="C6" s="10"/>
      <c r="D6" s="11" t="s">
        <v>50</v>
      </c>
      <c r="E6" s="12"/>
    </row>
    <row r="7">
      <c r="A7" s="9">
        <v>3.0</v>
      </c>
      <c r="B7" s="5" t="s">
        <v>52</v>
      </c>
      <c r="C7" s="10"/>
      <c r="D7" s="11" t="s">
        <v>50</v>
      </c>
      <c r="E7" s="12"/>
    </row>
    <row r="8">
      <c r="A8" s="9">
        <v>4.0</v>
      </c>
      <c r="B8" s="5" t="s">
        <v>53</v>
      </c>
      <c r="C8" s="10"/>
      <c r="D8" s="11" t="s">
        <v>50</v>
      </c>
      <c r="E8" s="12"/>
    </row>
    <row r="9">
      <c r="A9" s="9">
        <v>5.0</v>
      </c>
      <c r="B9" s="5" t="s">
        <v>54</v>
      </c>
      <c r="C9" s="10"/>
      <c r="D9" s="11" t="s">
        <v>50</v>
      </c>
      <c r="E9" s="12"/>
    </row>
    <row r="10">
      <c r="A10" s="9">
        <v>6.0</v>
      </c>
      <c r="B10" s="5" t="s">
        <v>55</v>
      </c>
      <c r="C10" s="10"/>
      <c r="D10" s="11" t="s">
        <v>50</v>
      </c>
      <c r="E10" s="12"/>
    </row>
    <row r="11">
      <c r="A11" s="9">
        <v>7.0</v>
      </c>
      <c r="B11" s="5" t="s">
        <v>56</v>
      </c>
      <c r="C11" s="10"/>
      <c r="D11" s="11" t="s">
        <v>50</v>
      </c>
      <c r="E11" s="12"/>
    </row>
    <row r="12">
      <c r="A12" s="9">
        <v>8.0</v>
      </c>
      <c r="B12" s="5" t="s">
        <v>57</v>
      </c>
      <c r="C12" s="10"/>
      <c r="D12" s="11" t="s">
        <v>50</v>
      </c>
      <c r="E12" s="12"/>
    </row>
    <row r="13">
      <c r="A13" s="9">
        <v>9.0</v>
      </c>
      <c r="B13" s="5" t="s">
        <v>58</v>
      </c>
      <c r="C13" s="10"/>
      <c r="D13" s="11" t="s">
        <v>50</v>
      </c>
      <c r="E13" s="13" t="s">
        <v>59</v>
      </c>
    </row>
    <row r="14">
      <c r="A14" s="9" t="s">
        <v>60</v>
      </c>
      <c r="B14" s="5" t="s">
        <v>61</v>
      </c>
      <c r="C14" s="10"/>
      <c r="D14" s="11" t="s">
        <v>62</v>
      </c>
      <c r="E14" s="12"/>
    </row>
    <row r="16">
      <c r="A16" s="3" t="s">
        <v>63</v>
      </c>
    </row>
    <row r="17">
      <c r="A17" s="14" t="s">
        <v>64</v>
      </c>
      <c r="B17" s="14" t="s">
        <v>65</v>
      </c>
    </row>
    <row r="18">
      <c r="A18" s="15" t="s">
        <v>66</v>
      </c>
      <c r="B18" s="16">
        <f>SUM(C5:C13)</f>
        <v>0</v>
      </c>
    </row>
    <row r="19">
      <c r="A19" s="15" t="s">
        <v>67</v>
      </c>
      <c r="B19" s="16" t="str">
        <f>IFS(B18&lt;=4,"None-minimal",B18&lt;=9,"Mild",B18&lt;=14,"Moderate",B18&lt;=19,"Moderately severe",TRUE(),"Severe")</f>
        <v>None-minimal</v>
      </c>
    </row>
    <row r="20">
      <c r="A20" s="14" t="s">
        <v>68</v>
      </c>
      <c r="B20" s="17" t="str">
        <f>IF(C13&gt;0,"CRISIS ROUTING REQUIRED","-")</f>
        <v>-</v>
      </c>
    </row>
    <row r="21" ht="15.75" customHeight="1"/>
    <row r="22" ht="15.75" customHeight="1">
      <c r="A22" s="8" t="s">
        <v>69</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E1"/>
    <mergeCell ref="A2:E2"/>
    <mergeCell ref="A16:E16"/>
    <mergeCell ref="A22:E22"/>
  </mergeCells>
  <dataValidations>
    <dataValidation type="list" allowBlank="1" showInputMessage="1" showErrorMessage="1" prompt="Invalid score - Choose one of: 0,1,2,3" sqref="C5:C14">
      <formula1>"0,1,2,3"</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60.0"/>
    <col customWidth="1" min="3" max="3" width="9.0"/>
    <col customWidth="1" min="4" max="4" width="40.0"/>
    <col customWidth="1" min="5" max="26" width="8.71"/>
  </cols>
  <sheetData>
    <row r="1">
      <c r="A1" s="7" t="s">
        <v>70</v>
      </c>
    </row>
    <row r="2">
      <c r="A2" s="8" t="s">
        <v>71</v>
      </c>
    </row>
    <row r="4">
      <c r="A4" s="4" t="s">
        <v>44</v>
      </c>
      <c r="B4" s="4" t="s">
        <v>45</v>
      </c>
      <c r="C4" s="4" t="s">
        <v>46</v>
      </c>
      <c r="D4" s="4" t="s">
        <v>47</v>
      </c>
    </row>
    <row r="5">
      <c r="A5" s="9">
        <v>1.0</v>
      </c>
      <c r="B5" s="5" t="s">
        <v>72</v>
      </c>
      <c r="C5" s="10"/>
      <c r="D5" s="11" t="s">
        <v>50</v>
      </c>
    </row>
    <row r="6">
      <c r="A6" s="9">
        <v>2.0</v>
      </c>
      <c r="B6" s="5" t="s">
        <v>73</v>
      </c>
      <c r="C6" s="10"/>
      <c r="D6" s="11" t="s">
        <v>50</v>
      </c>
    </row>
    <row r="7">
      <c r="A7" s="9">
        <v>3.0</v>
      </c>
      <c r="B7" s="5" t="s">
        <v>74</v>
      </c>
      <c r="C7" s="10"/>
      <c r="D7" s="11" t="s">
        <v>50</v>
      </c>
    </row>
    <row r="8">
      <c r="A8" s="9">
        <v>4.0</v>
      </c>
      <c r="B8" s="5" t="s">
        <v>75</v>
      </c>
      <c r="C8" s="10"/>
      <c r="D8" s="11" t="s">
        <v>50</v>
      </c>
    </row>
    <row r="9">
      <c r="A9" s="9">
        <v>5.0</v>
      </c>
      <c r="B9" s="5" t="s">
        <v>76</v>
      </c>
      <c r="C9" s="10"/>
      <c r="D9" s="11" t="s">
        <v>50</v>
      </c>
    </row>
    <row r="10">
      <c r="A10" s="9">
        <v>6.0</v>
      </c>
      <c r="B10" s="5" t="s">
        <v>77</v>
      </c>
      <c r="C10" s="10"/>
      <c r="D10" s="11" t="s">
        <v>50</v>
      </c>
    </row>
    <row r="11">
      <c r="A11" s="9">
        <v>7.0</v>
      </c>
      <c r="B11" s="5" t="s">
        <v>78</v>
      </c>
      <c r="C11" s="10"/>
      <c r="D11" s="11" t="s">
        <v>50</v>
      </c>
    </row>
    <row r="13">
      <c r="A13" s="3" t="s">
        <v>63</v>
      </c>
    </row>
    <row r="14">
      <c r="A14" s="14" t="s">
        <v>64</v>
      </c>
      <c r="B14" s="14" t="s">
        <v>65</v>
      </c>
    </row>
    <row r="15">
      <c r="A15" s="15" t="s">
        <v>79</v>
      </c>
      <c r="B15" s="16">
        <f>SUM(C5:C11)</f>
        <v>0</v>
      </c>
    </row>
    <row r="16">
      <c r="A16" s="15" t="s">
        <v>67</v>
      </c>
      <c r="B16" s="16" t="str">
        <f>IFS(B15&lt;=4,"Minimal",B15&lt;=9,"Mild",B15&lt;=14,"Moderate",TRUE(),"Severe")</f>
        <v>Minimal</v>
      </c>
    </row>
    <row r="18">
      <c r="A18" s="8" t="s">
        <v>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D1"/>
    <mergeCell ref="A2:D2"/>
    <mergeCell ref="A13:D13"/>
    <mergeCell ref="A18:D18"/>
  </mergeCells>
  <dataValidations>
    <dataValidation type="list" allowBlank="1" showInputMessage="1" showErrorMessage="1" prompt="Invalid score - Choose one of: 0,1,2,3" sqref="C5:C11">
      <formula1>"0,1,2,3"</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6.0"/>
    <col customWidth="1" min="3" max="3" width="24.0"/>
    <col customWidth="1" min="4" max="4" width="60.0"/>
    <col customWidth="1" min="5" max="5" width="11.0"/>
    <col customWidth="1" min="6" max="6" width="14.0"/>
    <col customWidth="1" min="7" max="26" width="8.71"/>
  </cols>
  <sheetData>
    <row r="1">
      <c r="A1" s="7" t="s">
        <v>81</v>
      </c>
    </row>
    <row r="2" ht="27.75" customHeight="1">
      <c r="A2" s="2" t="s">
        <v>82</v>
      </c>
    </row>
    <row r="4">
      <c r="A4" s="4" t="s">
        <v>44</v>
      </c>
      <c r="B4" s="4" t="s">
        <v>83</v>
      </c>
      <c r="C4" s="4" t="s">
        <v>84</v>
      </c>
      <c r="D4" s="4" t="s">
        <v>45</v>
      </c>
      <c r="E4" s="18" t="s">
        <v>85</v>
      </c>
      <c r="F4" s="4" t="s">
        <v>86</v>
      </c>
    </row>
    <row r="5">
      <c r="A5" s="9">
        <v>1.0</v>
      </c>
      <c r="B5" s="9" t="s">
        <v>87</v>
      </c>
      <c r="C5" s="19" t="s">
        <v>88</v>
      </c>
      <c r="D5" s="5" t="s">
        <v>89</v>
      </c>
      <c r="E5" s="10"/>
      <c r="F5" s="11" t="s">
        <v>90</v>
      </c>
    </row>
    <row r="6">
      <c r="A6" s="9">
        <v>2.0</v>
      </c>
      <c r="B6" s="9" t="s">
        <v>87</v>
      </c>
      <c r="C6" s="19" t="s">
        <v>88</v>
      </c>
      <c r="D6" s="5" t="s">
        <v>91</v>
      </c>
      <c r="E6" s="10"/>
      <c r="F6" s="11" t="s">
        <v>90</v>
      </c>
    </row>
    <row r="7">
      <c r="A7" s="9">
        <v>3.0</v>
      </c>
      <c r="B7" s="9" t="s">
        <v>87</v>
      </c>
      <c r="C7" s="19" t="s">
        <v>88</v>
      </c>
      <c r="D7" s="5" t="s">
        <v>92</v>
      </c>
      <c r="E7" s="10"/>
      <c r="F7" s="11" t="s">
        <v>90</v>
      </c>
    </row>
    <row r="8">
      <c r="A8" s="9">
        <v>4.0</v>
      </c>
      <c r="B8" s="9" t="s">
        <v>87</v>
      </c>
      <c r="C8" s="19" t="s">
        <v>88</v>
      </c>
      <c r="D8" s="5" t="s">
        <v>93</v>
      </c>
      <c r="E8" s="10"/>
      <c r="F8" s="11" t="s">
        <v>94</v>
      </c>
    </row>
    <row r="9">
      <c r="A9" s="9">
        <v>5.0</v>
      </c>
      <c r="B9" s="9" t="s">
        <v>87</v>
      </c>
      <c r="C9" s="19" t="s">
        <v>95</v>
      </c>
      <c r="D9" s="5" t="s">
        <v>96</v>
      </c>
      <c r="E9" s="10"/>
      <c r="F9" s="11" t="s">
        <v>94</v>
      </c>
    </row>
    <row r="10">
      <c r="A10" s="9">
        <v>6.0</v>
      </c>
      <c r="B10" s="9" t="s">
        <v>87</v>
      </c>
      <c r="C10" s="19" t="s">
        <v>95</v>
      </c>
      <c r="D10" s="5" t="s">
        <v>97</v>
      </c>
      <c r="E10" s="10"/>
      <c r="F10" s="11" t="s">
        <v>94</v>
      </c>
    </row>
    <row r="11">
      <c r="A11" s="9">
        <v>7.0</v>
      </c>
      <c r="B11" s="9" t="s">
        <v>98</v>
      </c>
      <c r="C11" s="19" t="s">
        <v>88</v>
      </c>
      <c r="D11" s="5" t="s">
        <v>99</v>
      </c>
      <c r="E11" s="10"/>
      <c r="F11" s="11" t="s">
        <v>94</v>
      </c>
    </row>
    <row r="12">
      <c r="A12" s="9">
        <v>8.0</v>
      </c>
      <c r="B12" s="9" t="s">
        <v>98</v>
      </c>
      <c r="C12" s="19" t="s">
        <v>88</v>
      </c>
      <c r="D12" s="5" t="s">
        <v>100</v>
      </c>
      <c r="E12" s="10"/>
      <c r="F12" s="11" t="s">
        <v>94</v>
      </c>
    </row>
    <row r="13">
      <c r="A13" s="9">
        <v>9.0</v>
      </c>
      <c r="B13" s="9" t="s">
        <v>98</v>
      </c>
      <c r="C13" s="19" t="s">
        <v>88</v>
      </c>
      <c r="D13" s="5" t="s">
        <v>101</v>
      </c>
      <c r="E13" s="10"/>
      <c r="F13" s="11" t="s">
        <v>90</v>
      </c>
    </row>
    <row r="14">
      <c r="A14" s="9">
        <v>10.0</v>
      </c>
      <c r="B14" s="9" t="s">
        <v>98</v>
      </c>
      <c r="C14" s="19" t="s">
        <v>88</v>
      </c>
      <c r="D14" s="5" t="s">
        <v>102</v>
      </c>
      <c r="E14" s="10"/>
      <c r="F14" s="11" t="s">
        <v>94</v>
      </c>
    </row>
    <row r="15">
      <c r="A15" s="9">
        <v>11.0</v>
      </c>
      <c r="B15" s="9" t="s">
        <v>98</v>
      </c>
      <c r="C15" s="19" t="s">
        <v>88</v>
      </c>
      <c r="D15" s="5" t="s">
        <v>103</v>
      </c>
      <c r="E15" s="10"/>
      <c r="F15" s="11" t="s">
        <v>94</v>
      </c>
    </row>
    <row r="16">
      <c r="A16" s="9">
        <v>12.0</v>
      </c>
      <c r="B16" s="9" t="s">
        <v>98</v>
      </c>
      <c r="C16" s="19" t="s">
        <v>95</v>
      </c>
      <c r="D16" s="5" t="s">
        <v>104</v>
      </c>
      <c r="E16" s="10"/>
      <c r="F16" s="11" t="s">
        <v>90</v>
      </c>
    </row>
    <row r="17">
      <c r="A17" s="9">
        <v>13.0</v>
      </c>
      <c r="B17" s="9" t="s">
        <v>98</v>
      </c>
      <c r="C17" s="19" t="s">
        <v>95</v>
      </c>
      <c r="D17" s="5" t="s">
        <v>105</v>
      </c>
      <c r="E17" s="10"/>
      <c r="F17" s="11" t="s">
        <v>94</v>
      </c>
    </row>
    <row r="18">
      <c r="A18" s="9">
        <v>14.0</v>
      </c>
      <c r="B18" s="9" t="s">
        <v>98</v>
      </c>
      <c r="C18" s="19" t="s">
        <v>95</v>
      </c>
      <c r="D18" s="5" t="s">
        <v>106</v>
      </c>
      <c r="E18" s="10"/>
      <c r="F18" s="11" t="s">
        <v>94</v>
      </c>
    </row>
    <row r="19">
      <c r="A19" s="9">
        <v>15.0</v>
      </c>
      <c r="B19" s="9" t="s">
        <v>98</v>
      </c>
      <c r="C19" s="19" t="s">
        <v>95</v>
      </c>
      <c r="D19" s="5" t="s">
        <v>107</v>
      </c>
      <c r="E19" s="10"/>
      <c r="F19" s="11" t="s">
        <v>94</v>
      </c>
    </row>
    <row r="20">
      <c r="A20" s="9">
        <v>16.0</v>
      </c>
      <c r="B20" s="9" t="s">
        <v>98</v>
      </c>
      <c r="C20" s="19" t="s">
        <v>95</v>
      </c>
      <c r="D20" s="5" t="s">
        <v>108</v>
      </c>
      <c r="E20" s="10"/>
      <c r="F20" s="11" t="s">
        <v>90</v>
      </c>
    </row>
    <row r="21" ht="15.75" customHeight="1">
      <c r="A21" s="9">
        <v>17.0</v>
      </c>
      <c r="B21" s="9" t="s">
        <v>98</v>
      </c>
      <c r="C21" s="19" t="s">
        <v>95</v>
      </c>
      <c r="D21" s="5" t="s">
        <v>109</v>
      </c>
      <c r="E21" s="10"/>
      <c r="F21" s="11" t="s">
        <v>94</v>
      </c>
    </row>
    <row r="22" ht="15.75" customHeight="1">
      <c r="A22" s="9">
        <v>18.0</v>
      </c>
      <c r="B22" s="9" t="s">
        <v>98</v>
      </c>
      <c r="C22" s="19" t="s">
        <v>95</v>
      </c>
      <c r="D22" s="5" t="s">
        <v>110</v>
      </c>
      <c r="E22" s="10"/>
      <c r="F22" s="11" t="s">
        <v>90</v>
      </c>
    </row>
    <row r="23" ht="15.75" customHeight="1"/>
    <row r="24" ht="15.75" customHeight="1">
      <c r="A24" s="3" t="s">
        <v>111</v>
      </c>
    </row>
    <row r="25" ht="15.75" customHeight="1">
      <c r="A25" s="14" t="s">
        <v>64</v>
      </c>
      <c r="B25" s="14" t="s">
        <v>65</v>
      </c>
    </row>
    <row r="26" ht="15.75" customHeight="1">
      <c r="A26" s="15" t="s">
        <v>112</v>
      </c>
      <c r="B26" s="16">
        <f>SUMPRODUCT((A5:A22&lt;=6)*(((F5:F22="Sometimes+")*(E5:E22&gt;=3))+((F5:F22="Often+")*(E5:E22&gt;=4))))</f>
        <v>0</v>
      </c>
    </row>
    <row r="27" ht="15.75" customHeight="1">
      <c r="A27" s="14" t="s">
        <v>113</v>
      </c>
      <c r="B27" s="17" t="str">
        <f>IF(B26&gt;=4,"POSITIVE SCREEN","Negative screen")</f>
        <v>Negative screen</v>
      </c>
    </row>
    <row r="28" ht="15.75" customHeight="1"/>
    <row r="29" ht="15.75" customHeight="1">
      <c r="A29" s="3" t="s">
        <v>114</v>
      </c>
    </row>
    <row r="30" ht="15.75" customHeight="1">
      <c r="A30" s="14" t="s">
        <v>64</v>
      </c>
      <c r="B30" s="14" t="s">
        <v>65</v>
      </c>
    </row>
    <row r="31" ht="15.75" customHeight="1">
      <c r="A31" s="15" t="s">
        <v>115</v>
      </c>
      <c r="B31" s="16">
        <f>SUMPRODUCT((((F5:F22="Sometimes+")*(E5:E22&gt;=3))+((F5:F22="Often+")*(E5:E22&gt;=4))))</f>
        <v>0</v>
      </c>
    </row>
    <row r="32" ht="15.75" customHeight="1">
      <c r="A32" s="15" t="s">
        <v>116</v>
      </c>
      <c r="B32" s="16">
        <f>SUMPRODUCT((C5:C22="Inattention")*(((F5:F22="Sometimes+")*(E5:E22&gt;=3))+((F5:F22="Often+")*(E5:E22&gt;=4))))</f>
        <v>0</v>
      </c>
    </row>
    <row r="33" ht="15.75" customHeight="1">
      <c r="A33" s="15" t="s">
        <v>117</v>
      </c>
      <c r="B33" s="16">
        <f>SUMPRODUCT((C5:C22="Hyperactivity-Impulsivity")*(((F5:F22="Sometimes+")*(E5:E22&gt;=3))+((F5:F22="Often+")*(E5:E22&gt;=4))))</f>
        <v>0</v>
      </c>
    </row>
    <row r="34" ht="15.75" customHeight="1"/>
    <row r="35" ht="30.0" customHeight="1">
      <c r="A35" s="2" t="s">
        <v>118</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A2:F2"/>
    <mergeCell ref="A24:F24"/>
    <mergeCell ref="A29:F29"/>
    <mergeCell ref="A35:F35"/>
  </mergeCells>
  <dataValidations>
    <dataValidation type="list" allowBlank="1" showInputMessage="1" showErrorMessage="1" prompt="Invalid entry - Choose one of: 1,2,3,4,5" sqref="E5:E22">
      <formula1>"1,2,3,4,5"</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8.0" topLeftCell="A9" activePane="bottomLeft" state="frozen"/>
      <selection activeCell="B10" sqref="B10" pane="bottomLeft"/>
    </sheetView>
  </sheetViews>
  <sheetFormatPr customHeight="1" defaultColWidth="14.43" defaultRowHeight="15.0"/>
  <cols>
    <col customWidth="1" min="1" max="1" width="10.0"/>
    <col customWidth="1" min="2" max="2" width="65.0"/>
    <col customWidth="1" min="3" max="4" width="12.0"/>
    <col customWidth="1" min="5" max="26" width="8.71"/>
  </cols>
  <sheetData>
    <row r="1">
      <c r="A1" s="7" t="s">
        <v>119</v>
      </c>
    </row>
    <row r="2">
      <c r="A2" s="8" t="s">
        <v>120</v>
      </c>
    </row>
    <row r="4">
      <c r="A4" s="14" t="s">
        <v>121</v>
      </c>
    </row>
    <row r="5" ht="54.75" customHeight="1">
      <c r="A5" s="20" t="s">
        <v>122</v>
      </c>
      <c r="B5" s="21"/>
      <c r="C5" s="22"/>
      <c r="D5" s="10"/>
    </row>
    <row r="7">
      <c r="A7" s="14" t="s">
        <v>123</v>
      </c>
    </row>
    <row r="8">
      <c r="A8" s="4" t="s">
        <v>44</v>
      </c>
      <c r="B8" s="4" t="s">
        <v>45</v>
      </c>
      <c r="C8" s="4" t="s">
        <v>124</v>
      </c>
      <c r="D8" s="4"/>
    </row>
    <row r="9">
      <c r="A9" s="9">
        <v>1.0</v>
      </c>
      <c r="B9" s="5" t="s">
        <v>125</v>
      </c>
      <c r="C9" s="10"/>
    </row>
    <row r="10">
      <c r="A10" s="9">
        <v>2.0</v>
      </c>
      <c r="B10" s="5" t="s">
        <v>126</v>
      </c>
      <c r="C10" s="10"/>
    </row>
    <row r="11">
      <c r="A11" s="9">
        <v>3.0</v>
      </c>
      <c r="B11" s="5" t="s">
        <v>127</v>
      </c>
      <c r="C11" s="10"/>
    </row>
    <row r="12">
      <c r="A12" s="9">
        <v>4.0</v>
      </c>
      <c r="B12" s="5" t="s">
        <v>128</v>
      </c>
      <c r="C12" s="10"/>
    </row>
    <row r="13">
      <c r="A13" s="9">
        <v>5.0</v>
      </c>
      <c r="B13" s="5" t="s">
        <v>129</v>
      </c>
      <c r="C13" s="10"/>
    </row>
    <row r="15">
      <c r="A15" s="3" t="s">
        <v>63</v>
      </c>
    </row>
    <row r="16">
      <c r="A16" s="14" t="s">
        <v>64</v>
      </c>
      <c r="B16" s="14" t="s">
        <v>65</v>
      </c>
    </row>
    <row r="17">
      <c r="A17" s="15" t="s">
        <v>130</v>
      </c>
      <c r="B17" s="16" t="str">
        <f>D5</f>
        <v/>
      </c>
    </row>
    <row r="18">
      <c r="A18" s="15" t="s">
        <v>131</v>
      </c>
      <c r="B18" s="16">
        <f>IF(D5="Yes",COUNTIF(C9:C13,"Yes"),0)</f>
        <v>0</v>
      </c>
    </row>
    <row r="19">
      <c r="A19" s="14" t="s">
        <v>132</v>
      </c>
      <c r="B19" s="17" t="str">
        <f>IF(D5&lt;&gt;"Yes","N/A — no trauma exposure reported",IF(B18&gt;=3,"POSITIVE SCREEN","Negative screen"))</f>
        <v>N/A — no trauma exposure reported</v>
      </c>
    </row>
    <row r="21" ht="15.75" customHeight="1">
      <c r="A21" s="8" t="s">
        <v>133</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D1"/>
    <mergeCell ref="A2:D2"/>
    <mergeCell ref="A5:C5"/>
    <mergeCell ref="A15:D15"/>
    <mergeCell ref="A21:D21"/>
  </mergeCells>
  <dataValidations>
    <dataValidation type="list" allowBlank="1" showInputMessage="1" showErrorMessage="1" prompt="Invalid entry - Choose one of: Yes,No" sqref="D5 C9:C13">
      <formula1>"Yes,No"</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16.0"/>
    <col customWidth="1" min="3" max="3" width="65.0"/>
    <col customWidth="1" min="4" max="4" width="11.0"/>
    <col customWidth="1" min="5" max="5" width="4.0"/>
    <col customWidth="1" min="6" max="26" width="8.71"/>
  </cols>
  <sheetData>
    <row r="1">
      <c r="A1" s="7" t="s">
        <v>134</v>
      </c>
    </row>
    <row r="2" ht="27.75" customHeight="1">
      <c r="A2" s="2" t="s">
        <v>135</v>
      </c>
    </row>
    <row r="4">
      <c r="A4" s="4" t="s">
        <v>44</v>
      </c>
      <c r="B4" s="4" t="s">
        <v>136</v>
      </c>
      <c r="C4" s="4" t="s">
        <v>45</v>
      </c>
      <c r="D4" s="4" t="s">
        <v>137</v>
      </c>
      <c r="E4" s="4"/>
    </row>
    <row r="5">
      <c r="A5" s="9">
        <v>1.0</v>
      </c>
      <c r="B5" s="19" t="s">
        <v>138</v>
      </c>
      <c r="C5" s="5" t="s">
        <v>139</v>
      </c>
      <c r="D5" s="10"/>
    </row>
    <row r="6">
      <c r="A6" s="9">
        <v>2.0</v>
      </c>
      <c r="B6" s="19" t="s">
        <v>140</v>
      </c>
      <c r="C6" s="5" t="s">
        <v>141</v>
      </c>
      <c r="D6" s="10"/>
    </row>
    <row r="7">
      <c r="A7" s="9">
        <v>3.0</v>
      </c>
      <c r="B7" s="19" t="s">
        <v>142</v>
      </c>
      <c r="C7" s="5" t="s">
        <v>143</v>
      </c>
      <c r="D7" s="10"/>
    </row>
    <row r="8">
      <c r="A8" s="9">
        <v>4.0</v>
      </c>
      <c r="B8" s="19" t="s">
        <v>144</v>
      </c>
      <c r="C8" s="5" t="s">
        <v>145</v>
      </c>
      <c r="D8" s="10"/>
    </row>
    <row r="9">
      <c r="A9" s="9">
        <v>5.0</v>
      </c>
      <c r="B9" s="19" t="s">
        <v>146</v>
      </c>
      <c r="C9" s="5" t="s">
        <v>147</v>
      </c>
      <c r="D9" s="10"/>
    </row>
    <row r="10">
      <c r="A10" s="9">
        <v>6.0</v>
      </c>
      <c r="B10" s="19" t="s">
        <v>148</v>
      </c>
      <c r="C10" s="5" t="s">
        <v>149</v>
      </c>
      <c r="D10" s="10"/>
    </row>
    <row r="11">
      <c r="A11" s="9">
        <v>7.0</v>
      </c>
      <c r="B11" s="19" t="s">
        <v>138</v>
      </c>
      <c r="C11" s="5" t="s">
        <v>150</v>
      </c>
      <c r="D11" s="10"/>
    </row>
    <row r="12">
      <c r="A12" s="9">
        <v>8.0</v>
      </c>
      <c r="B12" s="19" t="s">
        <v>140</v>
      </c>
      <c r="C12" s="5" t="s">
        <v>151</v>
      </c>
      <c r="D12" s="10"/>
    </row>
    <row r="13">
      <c r="A13" s="9">
        <v>9.0</v>
      </c>
      <c r="B13" s="19" t="s">
        <v>142</v>
      </c>
      <c r="C13" s="5" t="s">
        <v>152</v>
      </c>
      <c r="D13" s="10"/>
    </row>
    <row r="14">
      <c r="A14" s="9">
        <v>10.0</v>
      </c>
      <c r="B14" s="19" t="s">
        <v>144</v>
      </c>
      <c r="C14" s="5" t="s">
        <v>153</v>
      </c>
      <c r="D14" s="10"/>
    </row>
    <row r="15">
      <c r="A15" s="9">
        <v>11.0</v>
      </c>
      <c r="B15" s="19" t="s">
        <v>146</v>
      </c>
      <c r="C15" s="5" t="s">
        <v>154</v>
      </c>
      <c r="D15" s="10"/>
    </row>
    <row r="16">
      <c r="A16" s="9">
        <v>12.0</v>
      </c>
      <c r="B16" s="19" t="s">
        <v>148</v>
      </c>
      <c r="C16" s="5" t="s">
        <v>155</v>
      </c>
      <c r="D16" s="10"/>
    </row>
    <row r="17">
      <c r="A17" s="9">
        <v>13.0</v>
      </c>
      <c r="B17" s="19" t="s">
        <v>138</v>
      </c>
      <c r="C17" s="5" t="s">
        <v>156</v>
      </c>
      <c r="D17" s="10"/>
    </row>
    <row r="18">
      <c r="A18" s="9">
        <v>14.0</v>
      </c>
      <c r="B18" s="19" t="s">
        <v>140</v>
      </c>
      <c r="C18" s="5" t="s">
        <v>157</v>
      </c>
      <c r="D18" s="10"/>
    </row>
    <row r="19">
      <c r="A19" s="9">
        <v>15.0</v>
      </c>
      <c r="B19" s="19" t="s">
        <v>142</v>
      </c>
      <c r="C19" s="5" t="s">
        <v>158</v>
      </c>
      <c r="D19" s="10"/>
    </row>
    <row r="20">
      <c r="A20" s="9">
        <v>16.0</v>
      </c>
      <c r="B20" s="19" t="s">
        <v>144</v>
      </c>
      <c r="C20" s="5" t="s">
        <v>159</v>
      </c>
      <c r="D20" s="10"/>
    </row>
    <row r="21" ht="15.75" customHeight="1">
      <c r="A21" s="9">
        <v>17.0</v>
      </c>
      <c r="B21" s="19" t="s">
        <v>146</v>
      </c>
      <c r="C21" s="5" t="s">
        <v>160</v>
      </c>
      <c r="D21" s="10"/>
    </row>
    <row r="22" ht="15.75" customHeight="1">
      <c r="A22" s="9">
        <v>18.0</v>
      </c>
      <c r="B22" s="19" t="s">
        <v>148</v>
      </c>
      <c r="C22" s="5" t="s">
        <v>161</v>
      </c>
      <c r="D22" s="10"/>
    </row>
    <row r="23" ht="15.75" customHeight="1"/>
    <row r="24" ht="15.75" customHeight="1">
      <c r="A24" s="3" t="s">
        <v>63</v>
      </c>
    </row>
    <row r="25" ht="15.75" customHeight="1">
      <c r="A25" s="14" t="s">
        <v>64</v>
      </c>
      <c r="B25" s="14" t="s">
        <v>65</v>
      </c>
    </row>
    <row r="26" ht="15.75" customHeight="1">
      <c r="A26" s="15" t="s">
        <v>162</v>
      </c>
      <c r="B26" s="16">
        <f>SUM(D5:D22)</f>
        <v>0</v>
      </c>
    </row>
    <row r="27" ht="15.75" customHeight="1">
      <c r="A27" s="15" t="s">
        <v>163</v>
      </c>
      <c r="B27" s="16" t="str">
        <f>IFERROR(AVERAGEIFS(D5:D22,B5:B22,"Hoarding"),"")</f>
        <v/>
      </c>
    </row>
    <row r="28" ht="15.75" customHeight="1">
      <c r="A28" s="15" t="s">
        <v>164</v>
      </c>
      <c r="B28" s="16" t="str">
        <f>IFERROR(AVERAGEIFS(D5:D22,B5:B22,"Checking"),"")</f>
        <v/>
      </c>
    </row>
    <row r="29" ht="15.75" customHeight="1">
      <c r="A29" s="15" t="s">
        <v>165</v>
      </c>
      <c r="B29" s="16" t="str">
        <f>IFERROR(AVERAGEIFS(D5:D22,B5:B22,"Ordering"),"")</f>
        <v/>
      </c>
    </row>
    <row r="30" ht="15.75" customHeight="1">
      <c r="A30" s="15" t="s">
        <v>166</v>
      </c>
      <c r="B30" s="16" t="str">
        <f>IFERROR(AVERAGEIFS(D5:D22,B5:B22,"Neutralizing"),"")</f>
        <v/>
      </c>
    </row>
    <row r="31" ht="15.75" customHeight="1">
      <c r="A31" s="15" t="s">
        <v>167</v>
      </c>
      <c r="B31" s="16" t="str">
        <f>IFERROR(AVERAGEIFS(D5:D22,B5:B22,"Washing"),"")</f>
        <v/>
      </c>
    </row>
    <row r="32" ht="15.75" customHeight="1">
      <c r="A32" s="15" t="s">
        <v>168</v>
      </c>
      <c r="B32" s="16" t="str">
        <f>IFERROR(AVERAGEIFS(D5:D22,B5:B22,"Obsessing"),"")</f>
        <v/>
      </c>
    </row>
    <row r="33" ht="15.75" customHeight="1"/>
    <row r="34" ht="15.75" customHeight="1">
      <c r="A34" s="14" t="s">
        <v>169</v>
      </c>
      <c r="B34" s="17" t="str">
        <f>IF(B26&gt;=18,"POSITIVE SCREEN (total &gt;=18)","Negative screen")</f>
        <v>Negative screen</v>
      </c>
    </row>
    <row r="35" ht="15.75" customHeight="1"/>
    <row r="36" ht="39.75" customHeight="1">
      <c r="A36" s="2" t="s">
        <v>170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E1"/>
    <mergeCell ref="A2:E2"/>
    <mergeCell ref="A24:E24"/>
    <mergeCell ref="A36:E36"/>
  </mergeCells>
  <dataValidations>
    <dataValidation type="list" allowBlank="1" showInputMessage="1" showErrorMessage="1" prompt="Invalid entry - Choose one of: 0,1,2,3,4" sqref="D5:D22">
      <formula1>"0,1,2,3,4"</formula1>
    </dataValidation>
  </dataValidations>
  <printOptions/>
  <pageMargins bottom="1.0" footer="0.0" header="0.0" left="0.75" right="0.75" top="1.0"/>
  <pageSetup paperSize="9" orientation="portrait"/>
  <drawing r:id="rId1"/>
</worksheet>
</file>