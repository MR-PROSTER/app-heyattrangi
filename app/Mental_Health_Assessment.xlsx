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OCIR" sheetId="2" r:id="rId6"/>
    <sheet state="visible" name="C_SSRS" sheetId="3" r:id="rId7"/>
    <sheet state="visible" name="GAD2" sheetId="4" r:id="rId8"/>
    <sheet state="visible" name="GAD7" sheetId="5" r:id="rId9"/>
    <sheet state="visible" name="ASRS" sheetId="6" r:id="rId10"/>
    <sheet state="visible" name="PHQ2" sheetId="7" r:id="rId11"/>
    <sheet state="visible" name="PHQ9" sheetId="8" r:id="rId12"/>
    <sheet state="visible" name="PSS10" sheetId="9" r:id="rId13"/>
    <sheet state="visible" name="WHO5" sheetId="10" r:id="rId14"/>
    <sheet state="visible" name="ASQ" sheetId="11" r:id="rId15"/>
    <sheet state="visible" name="PC_PTSD_5" sheetId="12" r:id="rId16"/>
    <sheet state="visible" name="RSES" sheetId="13" r:id="rId17"/>
    <sheet state="visible" name="AUDIT_C" sheetId="14" r:id="rId18"/>
    <sheet state="visible" name="AUDIT" sheetId="15" r:id="rId19"/>
    <sheet state="visible" name="SCOFF" sheetId="16" r:id="rId20"/>
    <sheet state="visible" name="CBI" sheetId="17" r:id="rId21"/>
  </sheets>
  <definedNames/>
  <calcPr/>
</workbook>
</file>

<file path=xl/sharedStrings.xml><?xml version="1.0" encoding="utf-8"?>
<sst xmlns="http://schemas.openxmlformats.org/spreadsheetml/2006/main" count="626" uniqueCount="387">
  <si>
    <t>C-SSRS — Columbia Suicide Severity Rating Scale, Screen Version (Recent)</t>
  </si>
  <si>
    <t>OCI-R — Obsessive-Compulsive Inventory-Revised (Obsessions/Compulsions)</t>
  </si>
  <si>
    <t>Mental Health Assessment Booklet — Extracted Data</t>
  </si>
  <si>
    <t>GAD-2 — Generalized Anxiety Disorder-2 (Anxiety, ultra-brief)</t>
  </si>
  <si>
    <t>Extracted directly from the user-provided source booklet (Mental_Health_Assessment_Booklet_Formatted.pdf), page references noted per sheet. Vanderbilt is on hold pending caregiver-consent resolution — not included here.</t>
  </si>
  <si>
    <t>Copyright The Research Foundation for Mental Hygiene, Inc. Free for clinical screening use — commercial/app embedding requires registration via cssrs.columbia.edu before this ships (see README, top licensing priority).</t>
  </si>
  <si>
    <t>Sheets, in booklet order</t>
  </si>
  <si>
    <t>Item #</t>
  </si>
  <si>
    <t>Sheet</t>
  </si>
  <si>
    <t>Instrument</t>
  </si>
  <si>
    <t>Question</t>
  </si>
  <si>
    <t>Booklet page</t>
  </si>
  <si>
    <t>Response</t>
  </si>
  <si>
    <t>Trigger</t>
  </si>
  <si>
    <t>Timeframe</t>
  </si>
  <si>
    <t>Licensing</t>
  </si>
  <si>
    <t>Green — public domain, no permission required. Spitzer, Kroenke, Williams &amp; Löwe (2007), Annals of Internal Medicine.</t>
  </si>
  <si>
    <t>C_SSRS</t>
  </si>
  <si>
    <t>The following statements refer to experiences in everyday life. Circle the number that best describes how much that experience has DISTRESSED or BOTHERED you during the PAST MONTH. Copyright Edna B. Foa, 2002 — no public free-use statement found; confirm licensing with Legal before shipping in-app (see README).</t>
  </si>
  <si>
    <t>Have you wished you were dead or wished you could go to sleep and not wake up?</t>
  </si>
  <si>
    <t>Columbia Suicide Severity Rating Scale — Screen Version (Recent)</t>
  </si>
  <si>
    <t>1</t>
  </si>
  <si>
    <t>Suicide risk (crisis-tier, screen on every session per your own crisis workflow)</t>
  </si>
  <si>
    <t>COPYRIGHTED — Research Foundation for Mental Hygiene, Inc. Free for clinical screening use; commercial/app embedding needs registration via cssrs.columbia.edu BEFORE launch — highest-priority licensing item given what this instrument screens for.</t>
  </si>
  <si>
    <t>GAD7</t>
  </si>
  <si>
    <t>Generalized Anxiety Disorder-7</t>
  </si>
  <si>
    <t>2</t>
  </si>
  <si>
    <t>Excessive worry</t>
  </si>
  <si>
    <t>Free — Pfizer, no permission required</t>
  </si>
  <si>
    <t>ASRS</t>
  </si>
  <si>
    <t>Past month</t>
  </si>
  <si>
    <t>Adult ADHD Self-Report Scale v1.1</t>
  </si>
  <si>
    <t>3</t>
  </si>
  <si>
    <t>Have you actually had any thoughts about killing yourself?</t>
  </si>
  <si>
    <t>Inattention/hyperactivity</t>
  </si>
  <si>
    <t>Copyrighted (WHO) — reprinted "with permission" everywhere found; confirm formal license (NYU TOV) before commercial use</t>
  </si>
  <si>
    <t>PHQ9</t>
  </si>
  <si>
    <t>Patient Health Questionnaire-9</t>
  </si>
  <si>
    <t>Have you been thinking about how you might do this?</t>
  </si>
  <si>
    <t>4</t>
  </si>
  <si>
    <t>Low mood</t>
  </si>
  <si>
    <t>Free — Pfizer, no permission required (booklet's own source page states this explicitly)</t>
  </si>
  <si>
    <t>Over the last 2 weeks, how often have you been bothered by the following problems?</t>
  </si>
  <si>
    <t>Have you had these thoughts and had some intention of acting on them?</t>
  </si>
  <si>
    <t>PSS10</t>
  </si>
  <si>
    <t>Perceived Stress Scale</t>
  </si>
  <si>
    <t>Subscale</t>
  </si>
  <si>
    <t>Item Text</t>
  </si>
  <si>
    <t>9</t>
  </si>
  <si>
    <t>Score (0-4)</t>
  </si>
  <si>
    <t>General perceived stress</t>
  </si>
  <si>
    <t>Have you started to work out or worked out the details of how to kill yourself? Did you intend to carry out this plan?</t>
  </si>
  <si>
    <t>Copyrighted (Sheldon Cohen, 1994). Free for research/clinical use; commercial use is licensed exclusively through Mapi Research Trust / ePROVIDE, fee may apply</t>
  </si>
  <si>
    <t>WHO5</t>
  </si>
  <si>
    <t>Have you done anything, started to do anything, or prepared to do anything to end your life? (Examples: took pills, tried to shoot yourself, cut yourself, tried to hang yourself, or collected pills, obtained a gun, gave away valuables, wrote a will or suicide note, etc.) — always ask</t>
  </si>
  <si>
    <t>WHO-5 Well-Being Index</t>
  </si>
  <si>
    <t>11</t>
  </si>
  <si>
    <t>Lifetime, and if yes, within past 3 months?</t>
  </si>
  <si>
    <t>General well-being check-in</t>
  </si>
  <si>
    <t>Skip logic: always ask 1 and 2. If Yes to 2, ask 3, 4, 5, 6. If No to 2, skip to 6 (still always asked).</t>
  </si>
  <si>
    <t>COPYRIGHTED (WHO, 2024), licensed CC BY-NC-SA 3.0 IGO — NonCommercial only. Attrangi is a paid product; using WHO-5 as-is requires a separate commercial license from WHO (see who.int/copyright).</t>
  </si>
  <si>
    <t>Screening Result</t>
  </si>
  <si>
    <t>Metric</t>
  </si>
  <si>
    <t>ASQ</t>
  </si>
  <si>
    <t>Result</t>
  </si>
  <si>
    <t>Ask Suicide-Screening Questions</t>
  </si>
  <si>
    <t>Screen result</t>
  </si>
  <si>
    <t>Hoarding</t>
  </si>
  <si>
    <t>19</t>
  </si>
  <si>
    <t>Suicide risk (crisis-tier)</t>
  </si>
  <si>
    <t>I have saved up so many things that they get in the way.</t>
  </si>
  <si>
    <t>Free — NIMH/NIH toolkit, U.S. federal government work, free of charge for clinical use</t>
  </si>
  <si>
    <t>PC_PTSD_5</t>
  </si>
  <si>
    <t>Primary Care PTSD Screen for DSM-5</t>
  </si>
  <si>
    <t>20</t>
  </si>
  <si>
    <t>Trauma</t>
  </si>
  <si>
    <t>Free — public domain, VA National Center for PTSD</t>
  </si>
  <si>
    <t>Licensing — resolve before any of these ship in-app</t>
  </si>
  <si>
    <t>• GREEN (free, no permission needed): GAD-7, PHQ-9, ASQ, PC-PTSD-5.</t>
  </si>
  <si>
    <t>• YELLOW (free for clinical/research use, but a commercial product needs a formal license): ASRS v1.1 (WHO — via NYU TOV licensing), PSS-10 (Sheldon Cohen — via Mapi Research Trust/ePROVIDE).</t>
  </si>
  <si>
    <t>• RED (do not ship without resolving first): C-SSRS is copyrighted by the Research Foundation for Mental Hygiene and needs registration through the Columbia Lighthouse Project before commercial embedding — given this is the suicide-risk screener sitting at the top of your own crisis-escalation priority list (see 04_Clinical/crisis_escalation_sop_synthesis.md), this should be resolved before anything else in this batch. WHO-5's license is explicitly NonCommercial (CC BY-NC-SA) — Attrangi being a paid product means WHO-5 needs a separate commercial license from WHO before use, not just attribution.</t>
  </si>
  <si>
    <t>Feeling nervous, anxious, or on edge</t>
  </si>
  <si>
    <t>• This sheet documents what was found in this research pass, not a legal clearance — not legal advice. A licensed lawyer should confirm reproduction/commercial-use rights for C-SSRS, ASRS, PSS-10, and WHO-5 before any of them ship in a paid product.</t>
  </si>
  <si>
    <t>Crisis-tier instruments — how these connect to existing clinical-crew work</t>
  </si>
  <si>
    <t>Checking</t>
  </si>
  <si>
    <t>• C-SSRS and ASQ are both suicide-risk screeners — both carry hard-coded action routing on their own sheets (POSITIVE/ACUTE flags), matching the escalation-tier structure already proposed in 04_Clinical/crisis_escalation_sop_synthesis.md. Any positive flag on either sheet should route into that same crisis-escalation workflow, not be treated as a standalone result.</t>
  </si>
  <si>
    <t>I check things more often than necessary.</t>
  </si>
  <si>
    <t>• PHQ-9 item 9 (self-harm) carries its own crisis-routing note, consistent with the same workflow.</t>
  </si>
  <si>
    <t>• Recommend Clinical decide which of C-SSRS or ASQ (or both, at different tiers) becomes Attrangi's actual suicide-risk screening instrument before build — they overlap in purpose but differ in structure and licensing posture.</t>
  </si>
  <si>
    <t>Missing Assessments — Gap Analysis &amp; Extraction Cross-check of the founder's 15-item free-assessment checklist against what's already been delivered, with the 7 gaps built out below.</t>
  </si>
  <si>
    <t>CRISIS ROUTING</t>
  </si>
  <si>
    <t>Ordering</t>
  </si>
  <si>
    <t>Checklist Coverage Domain</t>
  </si>
  <si>
    <t>I get upset if objects are not arranged properly.</t>
  </si>
  <si>
    <t>Status</t>
  </si>
  <si>
    <t>Where</t>
  </si>
  <si>
    <t>Not being able to stop or control worrying</t>
  </si>
  <si>
    <t>Source: The Columbia Lighthouse Project / Research Foundation for Mental Hygiene, Inc. Screen Version (Recent). Cross-reference: 04_Clinical/crisis_escalation_sop_synthesis.md — any HIGH RISK flag here should trigger the same escalation path proposed there (therapist + emergency contact + emergency services where warranted), pending the still-missing CrisisAlert DB model.</t>
  </si>
  <si>
    <t>Depression</t>
  </si>
  <si>
    <t>PHQ-2</t>
  </si>
  <si>
    <t>NEW — built here</t>
  </si>
  <si>
    <t>PHQ2 sheet</t>
  </si>
  <si>
    <t>Green</t>
  </si>
  <si>
    <t>PHQ-9</t>
  </si>
  <si>
    <t>Already delivered</t>
  </si>
  <si>
    <t>Mental_Health_Assessment_Booklet_Extracted.xlsx</t>
  </si>
  <si>
    <t>Anxiety</t>
  </si>
  <si>
    <t>GAD-2</t>
  </si>
  <si>
    <t>Neutralizing</t>
  </si>
  <si>
    <t>GAD2 sheet</t>
  </si>
  <si>
    <t>I feel compelled to count while I am doing things.</t>
  </si>
  <si>
    <t>GAD-7</t>
  </si>
  <si>
    <t>Stress &amp; Burnout</t>
  </si>
  <si>
    <t>Perceived Stress Scale (PSS-10)</t>
  </si>
  <si>
    <t>Copenhagen Burnout Inventory</t>
  </si>
  <si>
    <t>CBI sheet</t>
  </si>
  <si>
    <t>Suicide Risk</t>
  </si>
  <si>
    <t>Columbia (C-SSRS)</t>
  </si>
  <si>
    <t>Red — Columbia Lighthouse Project registration required</t>
  </si>
  <si>
    <t>Washing</t>
  </si>
  <si>
    <t>Ask Suicide-Screening (ASQ)</t>
  </si>
  <si>
    <t>I find it difficult to touch an object when I know it has been touched by strangers or certain people.</t>
  </si>
  <si>
    <t>Scoring Summary</t>
  </si>
  <si>
    <t>Well-being</t>
  </si>
  <si>
    <t>Red — NonCommercial license clause, needs WHO commercial license</t>
  </si>
  <si>
    <t>ADHD</t>
  </si>
  <si>
    <t>Adult ADHD Self-Report (ASRS v1.1)</t>
  </si>
  <si>
    <t>Yellow — WHO/NYU formal license needed</t>
  </si>
  <si>
    <t>PTSD</t>
  </si>
  <si>
    <t>Primary Care PTSD Screen (PC-PTSD-5)</t>
  </si>
  <si>
    <t>Obsessing</t>
  </si>
  <si>
    <t>I find it difficult to control my own thoughts.</t>
  </si>
  <si>
    <t>Eating Disorders</t>
  </si>
  <si>
    <t>SCOFF Questionnaire</t>
  </si>
  <si>
    <t>SCOFF sheet</t>
  </si>
  <si>
    <t>Alcohol Use</t>
  </si>
  <si>
    <t>AUDIT</t>
  </si>
  <si>
    <t>AUDIT sheet</t>
  </si>
  <si>
    <t>Yellow — confirm commercial terms with WHO</t>
  </si>
  <si>
    <t>AUDIT-C</t>
  </si>
  <si>
    <t>AUDIT_C sheet</t>
  </si>
  <si>
    <t>Yellow — same as AUDIT (derived from it)</t>
  </si>
  <si>
    <t>Self-Esteem</t>
  </si>
  <si>
    <t>Rosenberg Self-Esteem Scale</t>
  </si>
  <si>
    <t>I collect things I don't need.</t>
  </si>
  <si>
    <t>RSES sheet</t>
  </si>
  <si>
    <t>Licensing Key</t>
  </si>
  <si>
    <t>Total score (0-6)</t>
  </si>
  <si>
    <t>Green — free, no permission needed, safe to ship.</t>
  </si>
  <si>
    <t>Yellow — free for clinical/research use but a formal commercial license is recommended/required before shipping in a paid product.</t>
  </si>
  <si>
    <t>Red — must be resolved before shipping, not just noted (see prior workbook's README for C-SSRS / WHO-5 detail).</t>
  </si>
  <si>
    <t>I repeatedly check doors, windows, drawers, etc.</t>
  </si>
  <si>
    <t>AUDIT / AUDIT-C licensing note</t>
  </si>
  <si>
    <t>The AUDIT manual (WHO/MSD/MSB/01.6a, 2001) does not carry an explicit Creative Commons license on WHO's current publications page — unlike WHO-5, which is explicitly CC BY-NC-SA 3.0 IGO. WHO's general publishing policy defaults commercial/database use to "permission required" unless a CC license is stated. Recommend confirming directly with WHO Permissions (permissions@who.int) before using AUDIT/AUDIT-C in a paid product, rather than assuming it's free the way PHQ-9/GAD-7/PC-PTSD-5/ASQ are. AUDIT-C is items 1-3 of AUDIT and inherits the same status.</t>
  </si>
  <si>
    <t>Rosenberg Self-Esteem Scale — source discrepancy flagged, not silently resolved</t>
  </si>
  <si>
    <t>I get upset if others change the way I have arranged things.</t>
  </si>
  <si>
    <t>Two authoritative-looking sources disagree on which 5 items are reverse-scored: the University of Maryland Sociology department's own summary text says items 3,5,8,9,10; a literal item-by-item reproduction hosted by Shirley Ryan AbilityLab's Rehabilitation Measures Database (citing Crandal 1973 / Robinson &amp; Shaver's Measures of Social Psychological Attitudes) marks items 2,5,6,8,9 with asterisks. Checked against the actual item wording: the 2,5,6,8,9 version is the only one that's internally consistent — every negatively-worded statement ("no good at all", "not much to be proud of", "feel useless", "wish more respect", "feel like a failure") is reverse-scored, and every positively-worded one is straight-scored. The 3,5,8,9,10 version would reverse-score two positively-worded items ("have good qualities", "positive attitude toward myself"), which can't be right paired with this item order. This workbook uses the internally-consistent version (2,5,6,8,9 reversed). Flagging rather than guessing, per house rule.</t>
  </si>
  <si>
    <t>I feel I have to repeat certain numbers.</t>
  </si>
  <si>
    <t>I sometimes have to wash or clean myself simply because I feel contaminated.</t>
  </si>
  <si>
    <t>Screen result (cutoff ≥3)</t>
  </si>
  <si>
    <t>I am upset by unpleasant thoughts that come into my mind against my will.</t>
  </si>
  <si>
    <t>GAD-7 — Generalized Anxiety Disorder Scale (Excessive Worry)</t>
  </si>
  <si>
    <t>Over the last 2 weeks, how often have you been bothered by the following problems? Free — Pfizer, no permission required.</t>
  </si>
  <si>
    <t>I avoid throwing things away because I am afraid I might need them later.</t>
  </si>
  <si>
    <t>Score</t>
  </si>
  <si>
    <t>Response Scale</t>
  </si>
  <si>
    <t>I repeatedly check gas and water taps and light switches after turning them off.</t>
  </si>
  <si>
    <t>0=Not at all 1=Several days 2=More than half the days 3=Nearly every day</t>
  </si>
  <si>
    <t>Source: Kroenke, Spitzer, Williams, Monahan &amp; Löwe (2007), Annals of Internal Medicine 146(5):317-325. If positive, administer full GAD-7 (already delivered in Mental_Health_Assessment_Booklet_Extracted.xlsx) rather than diagnosing off GAD-2 alone.</t>
  </si>
  <si>
    <t>Worrying too much about different things</t>
  </si>
  <si>
    <t>I need things to be arranged in a particular order.</t>
  </si>
  <si>
    <t>Trouble relaxing</t>
  </si>
  <si>
    <t>Being so restless that it is hard to sit still</t>
  </si>
  <si>
    <t>Becoming easily annoyed or irritable</t>
  </si>
  <si>
    <t>Feeling afraid, as if something awful might happen</t>
  </si>
  <si>
    <t>I feel that there are good and bad numbers.</t>
  </si>
  <si>
    <t>Functional impairment (booklet's own item)</t>
  </si>
  <si>
    <t>If you checked off any problems, how difficult have these problems made it for you to do your work, take care of things at home, or get along with other people?</t>
  </si>
  <si>
    <t>I wash my hands more often and longer than necessary.</t>
  </si>
  <si>
    <t>Total Score (items 1-7, range 0-21)</t>
  </si>
  <si>
    <t>Severity</t>
  </si>
  <si>
    <t>Source: Spitzer, Kroenke, Williams, Lowe (Pfizer). Booklet page 2.</t>
  </si>
  <si>
    <t>I frequently get nasty thoughts and have difficulty in getting rid of them.</t>
  </si>
  <si>
    <t>ASRS v1.1 — Adult ADHD Self-Report Scale (Inattention/Hyperactivity)</t>
  </si>
  <si>
    <t>For adults 18+. Copyrighted by the World Health Organization — reprinted with permission in every official source found; confirm formal licensing (NYU TOV) before commercial/app use (see README).</t>
  </si>
  <si>
    <t>Part</t>
  </si>
  <si>
    <t>Domain</t>
  </si>
  <si>
    <t>Score (1-5)</t>
  </si>
  <si>
    <t>Positive threshold</t>
  </si>
  <si>
    <t>A</t>
  </si>
  <si>
    <t>Inattention</t>
  </si>
  <si>
    <t>How often do you have trouble wrapping up the final details of a project, once the challenging parts have been done?</t>
  </si>
  <si>
    <t>Total Score (items 1-18, range 0-72)</t>
  </si>
  <si>
    <t>Sometimes+</t>
  </si>
  <si>
    <t>How often do you have difficulty getting things in order when you have to do a task that requires organization?</t>
  </si>
  <si>
    <t>How often do you have problems remembering appointments or obligations?</t>
  </si>
  <si>
    <t>When you have a task that requires a lot of thought, how often do you avoid or delay getting started?</t>
  </si>
  <si>
    <t>Hoarding subscale mean (of 3 items)</t>
  </si>
  <si>
    <t>Often+</t>
  </si>
  <si>
    <t>Hyperactivity-Impulsivity</t>
  </si>
  <si>
    <t>How often do you fidget or squirm with your hands or feet when you have to sit down for a long time?</t>
  </si>
  <si>
    <t>How often do you feel overly active and compelled to do things, like you were driven by a motor?</t>
  </si>
  <si>
    <t>B</t>
  </si>
  <si>
    <t>PHQ-2 — Patient Health Questionnaire-2 (Depression, ultra-brief)</t>
  </si>
  <si>
    <t>How often do you make careless mistakes when you have to work on a boring or difficult project?</t>
  </si>
  <si>
    <t>Checking subscale mean (of 3 items)</t>
  </si>
  <si>
    <t>Green — no permission required to reproduce, translate, display or distribute. Developed by Spitzer, Williams, Kroenke et al. with an educational grant from Pfizer Inc.</t>
  </si>
  <si>
    <t>How often do you have difficulty keeping your attention when you are doing boring or repetitive work?</t>
  </si>
  <si>
    <t>How often do you have difficulty concentrating on what people say to you, even when they are speaking to you directly?</t>
  </si>
  <si>
    <t>How often do you misplace or have difficulty finding things at home or at work?</t>
  </si>
  <si>
    <t>Ordering subscale mean (of 3 items)</t>
  </si>
  <si>
    <t>How often are you distracted by activity or noise around you?</t>
  </si>
  <si>
    <t>How often do you leave your seat in meetings or other situations in which you are expected to remain seated?</t>
  </si>
  <si>
    <t>Neutralizing subscale mean (of 3 items)</t>
  </si>
  <si>
    <t>Little interest or pleasure in doing things</t>
  </si>
  <si>
    <t>How often do you feel restless or fidgety?</t>
  </si>
  <si>
    <t>How often do you have difficulty unwinding and relaxing when you have time to yourself?</t>
  </si>
  <si>
    <t>Washing subscale mean (of 3 items)</t>
  </si>
  <si>
    <t>Feeling down, depressed, or hopeless</t>
  </si>
  <si>
    <t>How often do you find yourself talking too much when you are in social situations?</t>
  </si>
  <si>
    <t>When you're in a conversation, how often do you find yourself finishing the sentences of the people you are talking to, before they can finish them themselves?</t>
  </si>
  <si>
    <t>Obsessing subscale mean (of 3 items)</t>
  </si>
  <si>
    <t>How often do you have difficulty waiting your turn in situations when turn taking is required?</t>
  </si>
  <si>
    <t>How often do you interrupt others when they are busy?</t>
  </si>
  <si>
    <t>Scoring Summary — Part A (6-item screener)</t>
  </si>
  <si>
    <t>Part A positive-item count (need &gt;=4 of 6)</t>
  </si>
  <si>
    <t>Screen flag</t>
  </si>
  <si>
    <t>Part A screen result</t>
  </si>
  <si>
    <t>Source: Foa, Huppert, Leiberg, Langner, Kichic, Hajcak, Salkovskis (2002). Two cutoffs appear in the literature: the scale's own manual states total &gt;=18 (or subscale mean &gt;=2.5) suggests OCD; other validation work cites &gt;=21 as the clinical cutoff. Both transcribed here rather than picking one — flag for Clinical to confirm which Attrangi should use.</t>
  </si>
  <si>
    <t>Source: Kessler et al. 2005, WHO/Harvard/NYU Workgroup on Adult ADHD. Booklet page 3. Screening tool, not diagnostic. Age 18+ per instrument design — flag against Attrangi's 16-26 wedge.</t>
  </si>
  <si>
    <t>Source: Kroenke, Spitzer &amp; Williams (2003), Medical Care 41(11):1284-1294. If positive, administer full PHQ-9 (already delivered in Mental_Health_Assessment_Booklet_Extracted.xlsx) rather than diagnosing off PHQ-2 alone.</t>
  </si>
  <si>
    <t>PHQ-9 — Patient Health Questionnaire (Depression / Low Mood)</t>
  </si>
  <si>
    <t>Developed by Drs. Spitzer, Williams, Kroenke and colleagues, with an educational grant from Pfizer Inc. "No permission required to reproduce, translate, display or distribute" — exact wording from the booklet's own source page.</t>
  </si>
  <si>
    <t>Notes</t>
  </si>
  <si>
    <t>Trouble falling or staying asleep, or sleeping too much</t>
  </si>
  <si>
    <t>Feeling tired or having little energy</t>
  </si>
  <si>
    <t>Poor appetite or overeating</t>
  </si>
  <si>
    <t>Feeling bad about yourself — or that you are a failure or have let yourself or your family down</t>
  </si>
  <si>
    <t>Trouble concentrating on things, such as reading the newspaper or watching television</t>
  </si>
  <si>
    <t>Moving or speaking so slowly that other people could have noticed? Or the opposite — being so fidgety or restless that you have been moving around a lot more than usual</t>
  </si>
  <si>
    <t>Thoughts that you would be better off dead or of hurting yourself in some way</t>
  </si>
  <si>
    <t>CRISIS ROUTING: any score &gt;0 routes to crisis-escalation workflow — cross-reference C_SSRS / ASQ sheets in this workbook</t>
  </si>
  <si>
    <t>—</t>
  </si>
  <si>
    <t>0=Not difficult at all 1=Somewhat difficult 2=Very difficult 3=Extremely difficult</t>
  </si>
  <si>
    <t>Total Score (items 1-9, range 0-27)</t>
  </si>
  <si>
    <t>Item 9 (self-harm) flag</t>
  </si>
  <si>
    <t>Kroenke K, Spitzer RL, Williams JB. J Gen Intern Med. 2001;16(9):606-13. Booklet page 4.</t>
  </si>
  <si>
    <t>PSS-10 — Perceived Stress Scale (General Perceived Stress)</t>
  </si>
  <si>
    <t>In the last month, how often... Copyright Sheldon Cohen, 1994. Free for research/clinical use; commercial use is licensed exclusively through Mapi Research Trust / ePROVIDE, fee may apply — confirm before commercial embedding (see README).</t>
  </si>
  <si>
    <t>Reverse-scored?</t>
  </si>
  <si>
    <t>In the last month, how often have you been upset because of something that happened unexpectedly?</t>
  </si>
  <si>
    <t>No</t>
  </si>
  <si>
    <t>0=Never 1=Almost never 2=Sometimes 3=Fairly often 4=Very often</t>
  </si>
  <si>
    <t>In the last month, how often have you felt that you were unable to control the important things in your life?</t>
  </si>
  <si>
    <t>In the last month, how often have you felt nervous and stressed?</t>
  </si>
  <si>
    <t>In the last month, how often have you felt confident about your ability to handle your personal problems?</t>
  </si>
  <si>
    <t>Yes</t>
  </si>
  <si>
    <t>In the last month, how often have you felt that things were going your way?</t>
  </si>
  <si>
    <t>In the last month, how often have you found that you could not cope with all the things that you had to do?</t>
  </si>
  <si>
    <t>In the last month, how often have you been able to control irritations in your life?</t>
  </si>
  <si>
    <t>In the last month, how often have you felt that you were on top of things?</t>
  </si>
  <si>
    <t>In the last month, how often have you been angered because of things that happened that were outside of your control?</t>
  </si>
  <si>
    <t>In the last month, how often have you felt difficulties were piling up so high that you could not overcome them?</t>
  </si>
  <si>
    <t>Total Score (reverse-scored items 4,5,7,8 auto-corrected; range 0-40)</t>
  </si>
  <si>
    <t>Perceived stress level</t>
  </si>
  <si>
    <t>Source: Cohen, Kamarck, Mermelstein (1983/1994). Booklet page 9.</t>
  </si>
  <si>
    <t>WHO-5 — Well-Being Index (General Well-Being Check-In)</t>
  </si>
  <si>
    <t>Please indicate which is closest to how you have been feeling over the last two weeks. © WHO 2024, licensed CC BY-NC-SA 3.0 IGO — NonCommercial only. Attrangi is a paid product: using WHO-5 as-is requires a separate commercial license from WHO before shipping (see README).</t>
  </si>
  <si>
    <t>Score (0-5)</t>
  </si>
  <si>
    <t>I have felt cheerful and in good spirits</t>
  </si>
  <si>
    <t>5=All of the time 4=Most 3=More than half 2=Less than half 1=Some 0=At no time</t>
  </si>
  <si>
    <t>I have felt calm and relaxed</t>
  </si>
  <si>
    <t>I have felt active and vigorous</t>
  </si>
  <si>
    <t>I woke up feeling fresh and rested</t>
  </si>
  <si>
    <t>My daily life has been filled with things that interest me</t>
  </si>
  <si>
    <t>Raw Score (range 0-25)</t>
  </si>
  <si>
    <t>Percentage Score (raw x4, range 0-100)</t>
  </si>
  <si>
    <t>Flag</t>
  </si>
  <si>
    <t>Source: WHO, 2024 (WHO/UCN/MSD/MHE/2024.1). Originally developed by Bech, Psychiatric Centre North Zealand, 1990s. Booklet page 11. Cutoff &lt;50% (raw &lt;13) suggested for further assessment, e.g. depressive disorder — per WHO's own comment, not a diagnosis.</t>
  </si>
  <si>
    <t>ASQ — Ask Suicide-Screening Questions (Suicide Risk)</t>
  </si>
  <si>
    <t>NIMH Toolkit. Free — U.S. federal government work, free of charge for clinical use.</t>
  </si>
  <si>
    <t>In the past few weeks, have you wished you were dead?</t>
  </si>
  <si>
    <t>In the past few weeks, have you felt that you or your family would be better off if you were dead?</t>
  </si>
  <si>
    <t>In the past week, have you been having thoughts about killing yourself?</t>
  </si>
  <si>
    <t>Have you ever tried to kill yourself? (if yes, note most recent attempt: within last 12 months / over 1 year ago)</t>
  </si>
  <si>
    <t>Acuity question — ask ONLY if Yes to any of 1-4: Are you having thoughts of killing yourself right now?</t>
  </si>
  <si>
    <t>Screening Result (per NIMH toolkit's own action routing)</t>
  </si>
  <si>
    <t>988 Suicide and Crisis Lifeline: call or text 988. Crisis Text Line: text HOME to 741741. Source: NIMH ASQ Toolkit, nimh.nih.gov/asq. Booklet page 19.</t>
  </si>
  <si>
    <t>PC-PTSD-5 — Primary Care PTSD Screen for DSM-5 (Trauma)</t>
  </si>
  <si>
    <t>Public domain — VA National Center for PTSD, not copyrighted, free to use without permission. Version date 2022.</t>
  </si>
  <si>
    <t>Gate question</t>
  </si>
  <si>
    <t>Sometimes things happen to people that are unusually or especially frightening, horrible, or traumatic. For example: a serious accident or fire; a physical or sexual assault or abuse; an earthquake or flood; a war; seeing someone be killed or seriously injured; having a loved one die through homicide or suicide. Have you ever experienced this kind of event?</t>
  </si>
  <si>
    <t>If Yes: in the past month, have you...</t>
  </si>
  <si>
    <t>had nightmares about the event(s) or thought about the event(s) when you did not want to?</t>
  </si>
  <si>
    <t>tried hard not to think about the event(s) or went out of your way to avoid situations that reminded you of the event(s)?</t>
  </si>
  <si>
    <t>been constantly on guard, watchful, or easily startled?</t>
  </si>
  <si>
    <t>felt numb or detached from people, activities, or your surroundings?</t>
  </si>
  <si>
    <t>felt guilty or unable to stop blaming yourself or others for the event(s) or any problems the event(s) may have caused?</t>
  </si>
  <si>
    <t>Trauma exposure (gate question)</t>
  </si>
  <si>
    <t>Total score (0-5; only scored if gate = "Yes")</t>
  </si>
  <si>
    <t>Screen result (cutoff 3 = sensitive, 4 = more specific)</t>
  </si>
  <si>
    <t>Source: Prins, Bovin, Kimerling, Kaloupek, Marx, Pless Kaiser, Schnurr (2015, rev. 2022). National Center for PTSD. Booklet page 20.</t>
  </si>
  <si>
    <t>Rosenberg Self-Esteem Scale (RSES)</t>
  </si>
  <si>
    <t>Green — public domain per University of Maryland Sociology (current custodian of the scale). See README for a flagged source discrepancy on which items are reverse-scored.</t>
  </si>
  <si>
    <t>Instructions: below is a list of statements dealing with your general feelings about yourself. Indicate how much you agree or disagree with each.</t>
  </si>
  <si>
    <t>Statement</t>
  </si>
  <si>
    <t>Points</t>
  </si>
  <si>
    <t>On the whole, I am satisfied with myself.</t>
  </si>
  <si>
    <t>At times, I think I am no good at all.  [reverse-scored]</t>
  </si>
  <si>
    <t>I feel that I have a number of good qualities.</t>
  </si>
  <si>
    <t>I am able to do things as well as most other people.</t>
  </si>
  <si>
    <t>I feel I do not have much to be proud of.  [reverse-scored]</t>
  </si>
  <si>
    <t>I certainly feel useless at times.  [reverse-scored]</t>
  </si>
  <si>
    <t>I feel that I'm a person of worth, at least on an equal plane with others.</t>
  </si>
  <si>
    <t>I wish I could have more respect for myself.  [reverse-scored]</t>
  </si>
  <si>
    <t>All in all, I am inclined to feel that I am a failure.  [reverse-scored]</t>
  </si>
  <si>
    <t>I take a positive attitude toward myself.</t>
  </si>
  <si>
    <t>Total score (0-30; higher = higher self-esteem)</t>
  </si>
  <si>
    <t>Descriptive band (commonly-cited, not a diagnostic cutoff)</t>
  </si>
  <si>
    <t>Source (item text + scoring): Shirley Ryan AbilityLab Rehabilitation Measures Database reproduction of Rosenberg (1965), citing Crandal (1973) in Robinson &amp; Shaver, Measures of Social Psychological Attitudes. Licensing: socy.umd.edu (University of Maryland Sociology, current custodian) — public domain, no charge, request to cite Rosenberg (1989) Society and the Adolescent Self-Image, and to keep the Morris Rosenberg Foundation informed of use as a courtesy (not a legal requirement). Not a diagnostic instrument — screening/tracking use only.</t>
  </si>
  <si>
    <t>AUDIT-C — Alcohol Use Disorders Identification Test, Concise</t>
  </si>
  <si>
    <t>Yellow — first 3 items of AUDIT; inherits AUDIT's licensing status. Confirm commercial-use terms with WHO before shipping. See README.</t>
  </si>
  <si>
    <t>How often do you have a drink containing alcohol?</t>
  </si>
  <si>
    <t>How many drinks containing alcohol do you have on a typical day when you are drinking?</t>
  </si>
  <si>
    <t>How often do you have six or more drinks on one occasion?</t>
  </si>
  <si>
    <t>Sex at administration (affects cutoff)</t>
  </si>
  <si>
    <t>Total score (0-12)</t>
  </si>
  <si>
    <t>Screen result (cutoff: women ≥3, men ≥4)</t>
  </si>
  <si>
    <t>Source: Bush, Kivlahan, McDonell, Fihn &amp; Bradley (1998), Archives of Internal Medicine 158(16):1789-1795. Same 3 questions and scoring as AUDIT items 1-3.</t>
  </si>
  <si>
    <t>AUDIT — Alcohol Use Disorders Identification Test</t>
  </si>
  <si>
    <t>Yellow — WHO instrument; no explicit CC license found on WHO's current publication page for this 2001 manual (unlike WHO-5). Confirm commercial-use terms with WHO Permissions before shipping. See README.</t>
  </si>
  <si>
    <t>SCOFF Questionnaire (Eating Disorders)</t>
  </si>
  <si>
    <t>Green — freely available since its original publication; widely used in clinical practice and research without a licensing fee.</t>
  </si>
  <si>
    <t>Do you make yourself Sick because you feel uncomfortably full?</t>
  </si>
  <si>
    <t>Do you worry you have lost Control over how much you eat?</t>
  </si>
  <si>
    <t>Have you recently lost more than One stone (about 6.35 kg / 14 lbs) in a 3-month period?</t>
  </si>
  <si>
    <t>Do you believe yourself to be Fat when others say you are too thin?</t>
  </si>
  <si>
    <t>Would you say that Food dominates your life?</t>
  </si>
  <si>
    <t>Total score (0-5; 1 point per Yes)</t>
  </si>
  <si>
    <t>Screen result (cutoff ≥2)</t>
  </si>
  <si>
    <t>How often during the last year have you found that you were not able to stop drinking once you had started?</t>
  </si>
  <si>
    <t>Source: Morgan, Reid &amp; Lacey (1999), BMJ 319:1467-1468. Sensitivity ~85%, specificity ~90% at cutoff ≥2 in the original validation study. Screening tool only — does not diagnose an eating disorder.</t>
  </si>
  <si>
    <t>How often during the last year have you failed to do what was normally expected of you because of drinking?</t>
  </si>
  <si>
    <t>How often during the last year have you needed a first drink in the morning to get yourself going after a heavy drinking session?</t>
  </si>
  <si>
    <t>How often during the last year have you had a feeling of guilt or remorse after drinking?</t>
  </si>
  <si>
    <t>How often during the last year have you been unable to remember what happened the night before because you had been drinking?</t>
  </si>
  <si>
    <t>Have you or someone else been injured as a result of your drinking?</t>
  </si>
  <si>
    <t>Has a relative, friend, doctor, or other health worker been concerned about your drinking or suggested you cut down?</t>
  </si>
  <si>
    <t>Total score (0-40)</t>
  </si>
  <si>
    <t>Risk zone (WHO 4-zone framework)</t>
  </si>
  <si>
    <t>Source: Babor, Higgins-Biddle, Saunders &amp; Monteiro (2001), WHO/MSD/MSB/01.6a, AUDIT: Guidelines for Use in Primary Care, 2nd edition. Score ≥8 (some sources use ≥7 for women) is the standard cutoff for hazardous/harmful use.</t>
  </si>
  <si>
    <t>Copenhagen Burnout Inventory (CBI)</t>
  </si>
  <si>
    <t>Green — public domain, developed by the (Danish) National Institute of Occupational Health. Free to use and adapt.</t>
  </si>
  <si>
    <t>Part One: Personal Burnout</t>
  </si>
  <si>
    <t>Definition: a state of prolonged physical and psychological exhaustion.</t>
  </si>
  <si>
    <t>How often do you feel tired?</t>
  </si>
  <si>
    <t>How often are you physically exhausted?</t>
  </si>
  <si>
    <t>How often are you emotionally exhausted?</t>
  </si>
  <si>
    <t>How often do you think: "I can't take it anymore"?</t>
  </si>
  <si>
    <t>How often do you feel worn out?</t>
  </si>
  <si>
    <t>How often do you feel weak and susceptible to illness?</t>
  </si>
  <si>
    <t>Personal Burnout score (average of answered items, 0-100)</t>
  </si>
  <si>
    <t>Part Two: Work-related Burnout</t>
  </si>
  <si>
    <t>Definition: prolonged exhaustion perceived as related to the person's work. Item 7 is reverse-scored.</t>
  </si>
  <si>
    <t>Is your work emotionally exhausting?</t>
  </si>
  <si>
    <t>Do you feel burnt out because of your work?</t>
  </si>
  <si>
    <t>Does your work frustrate you?</t>
  </si>
  <si>
    <t>Do you feel worn out at the end of the working day?</t>
  </si>
  <si>
    <t>Are you exhausted in the morning at the thought of another day at work?</t>
  </si>
  <si>
    <t>Do you feel that every working hour is tiring for you?</t>
  </si>
  <si>
    <t>Do you have enough energy for family and friends during leisure time?  [reverse-scored]</t>
  </si>
  <si>
    <t>Work Burnout score (average of answered items, 0-100)</t>
  </si>
  <si>
    <t>Part Three: Client-related Burnout</t>
  </si>
  <si>
    <t>Definition: exhaustion perceived as related to work with clients. Use the term that fits your context (patients, users, students, etc.) in place of "clients."</t>
  </si>
  <si>
    <t>Do you find it hard to work with clients?</t>
  </si>
  <si>
    <t>Do you find it frustrating to work with clients?</t>
  </si>
  <si>
    <t>Does it drain your energy to work with clients?</t>
  </si>
  <si>
    <t>Do you feel that you give more than you get back when you work with clients?</t>
  </si>
  <si>
    <t>Are you tired of working with clients?</t>
  </si>
  <si>
    <t>Do you sometimes wonder how long you will be able to continue working with clients?</t>
  </si>
  <si>
    <t>Client Burnout score (average of answered items, 0-100)</t>
  </si>
  <si>
    <t>Interpretation (descriptive, not a validated clinical cutoff)</t>
  </si>
  <si>
    <t>The CBI's own normative study (Borritz &amp; Kristensen, National Institute of Occupational Health, Denmark, 2004) reports population means and describes "high degree of burnout" descriptively as a score of 50 or more on the 0-100 scale — this is how the PUMA study characterizes its own data, not a clinically validated diagnostic threshold the way PHQ-9's cutoffs are. Treat scores as a continuous severity indicator for clinician review, not a pass/fail diagnostic flag.</t>
  </si>
  <si>
    <t>Personal Burnout ≥50?</t>
  </si>
  <si>
    <t>Work Burnout ≥50?</t>
  </si>
  <si>
    <t>Client Burnout ≥50?</t>
  </si>
  <si>
    <t>Source: Kristensen, Borritz, Villadsen &amp; Christensen (2005), Work &amp; Stress 19(3):192-207; Borritz &amp; Kristensen (2004), National Institute of Occupational Health, Denmark — nfa.dk.</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</si>
</sst>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4.0"/>
      <color theme="1"/>
      <name val="Arial"/>
    </font>
    <font>
      <b/>
      <sz val="13.0"/>
      <color theme="1"/>
      <name val="Arial"/>
    </font>
    <font>
      <sz val="11.0"/>
      <color theme="1"/>
      <name val="Calibri"/>
    </font>
    <font>
      <i/>
      <sz val="9.0"/>
      <color rgb="FF555555"/>
      <name val="Arial"/>
    </font>
    <font>
      <b/>
      <sz val="12.0"/>
      <color theme="1"/>
      <name val="Arial"/>
    </font>
    <font>
      <b/>
      <sz val="11.0"/>
      <color rgb="FFFFFFFF"/>
      <name val="Arial"/>
    </font>
    <font>
      <sz val="10.0"/>
      <color theme="1"/>
      <name val="Arial"/>
    </font>
    <font>
      <b/>
      <color theme="1"/>
      <name val="Arial"/>
    </font>
    <font>
      <b/>
      <sz val="10.0"/>
      <color theme="1"/>
      <name val="Arial"/>
    </font>
    <font>
      <color theme="1"/>
      <name val="Arial"/>
    </font>
    <font>
      <b/>
      <color theme="1"/>
      <name val="Calibri"/>
      <scheme val="minor"/>
    </font>
    <font>
      <color theme="1"/>
      <name val="Calibri"/>
      <scheme val="minor"/>
    </font>
    <font>
      <b/>
      <color rgb="FFFFFFFF"/>
      <name val="Calibri"/>
      <scheme val="minor"/>
    </font>
    <font/>
  </fonts>
  <fills count="8">
    <fill>
      <patternFill patternType="none"/>
    </fill>
    <fill>
      <patternFill patternType="lightGray"/>
    </fill>
    <fill>
      <patternFill patternType="solid">
        <fgColor rgb="FF1F4E78"/>
        <bgColor rgb="FF1F4E78"/>
      </patternFill>
    </fill>
    <fill>
      <patternFill patternType="solid">
        <fgColor rgb="FFFFFF00"/>
        <bgColor rgb="FFFFFF00"/>
      </patternFill>
    </fill>
    <fill>
      <patternFill patternType="solid">
        <fgColor rgb="FFFF9999"/>
        <bgColor rgb="FFFF9999"/>
      </patternFill>
    </fill>
    <fill>
      <patternFill patternType="solid">
        <fgColor rgb="FFD9E1F2"/>
        <bgColor rgb="FFD9E1F2"/>
      </patternFill>
    </fill>
    <fill>
      <patternFill patternType="solid">
        <fgColor rgb="FFF2F2F2"/>
        <bgColor rgb="FFF2F2F2"/>
      </patternFill>
    </fill>
    <fill>
      <patternFill patternType="solid">
        <fgColor rgb="FFFCE4D6"/>
        <bgColor rgb="FFFCE4D6"/>
      </patternFill>
    </fill>
  </fills>
  <borders count="6">
    <border/>
    <border>
      <left style="thin">
        <color rgb="FFBFBFBF"/>
      </left>
      <right style="thin">
        <color rgb="FFBFBFBF"/>
      </right>
      <top style="thin">
        <color rgb="FFBFBFBF"/>
      </top>
      <bottom style="thin">
        <color rgb="FFBFBFBF"/>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3" numFmtId="0" xfId="0" applyAlignment="1" applyFont="1">
      <alignment vertical="bottom"/>
    </xf>
    <xf borderId="0" fillId="0" fontId="4" numFmtId="0" xfId="0" applyAlignment="1" applyFont="1">
      <alignment shrinkToFit="0" vertical="bottom" wrapText="1"/>
    </xf>
    <xf borderId="0" fillId="0" fontId="5" numFmtId="0" xfId="0" applyAlignment="1" applyFont="1">
      <alignment shrinkToFit="0" vertical="bottom" wrapText="0"/>
    </xf>
    <xf borderId="1" fillId="2" fontId="6" numFmtId="0" xfId="0" applyAlignment="1" applyBorder="1" applyFill="1" applyFont="1">
      <alignment horizontal="center" shrinkToFit="0" vertical="center" wrapText="1"/>
    </xf>
    <xf borderId="0" fillId="0" fontId="4" numFmtId="0" xfId="0" applyAlignment="1" applyFont="1">
      <alignment vertical="bottom"/>
    </xf>
    <xf borderId="1" fillId="0" fontId="7" numFmtId="0" xfId="0" applyAlignment="1" applyBorder="1" applyFont="1">
      <alignment shrinkToFit="0" vertical="bottom" wrapText="0"/>
    </xf>
    <xf borderId="1" fillId="0" fontId="7" numFmtId="0" xfId="0" applyAlignment="1" applyBorder="1" applyFont="1">
      <alignment shrinkToFit="0" vertical="bottom" wrapText="1"/>
    </xf>
    <xf borderId="0" fillId="0" fontId="4" numFmtId="0" xfId="0" applyAlignment="1" applyFont="1">
      <alignment shrinkToFit="0" vertical="bottom" wrapText="1"/>
    </xf>
    <xf borderId="1" fillId="3" fontId="3" numFmtId="0" xfId="0" applyAlignment="1" applyBorder="1" applyFill="1" applyFont="1">
      <alignment horizontal="center" shrinkToFit="0" vertical="bottom" wrapText="0"/>
    </xf>
    <xf borderId="1" fillId="0" fontId="4" numFmtId="0" xfId="0" applyAlignment="1" applyBorder="1" applyFont="1">
      <alignment shrinkToFit="0" vertical="bottom" wrapText="1"/>
    </xf>
    <xf borderId="1" fillId="2" fontId="6" numFmtId="0" xfId="0" applyAlignment="1" applyBorder="1" applyFont="1">
      <alignment horizontal="center" shrinkToFit="0" wrapText="1"/>
    </xf>
    <xf borderId="0" fillId="0" fontId="8" numFmtId="0" xfId="0" applyAlignment="1" applyFont="1">
      <alignment vertical="bottom"/>
    </xf>
    <xf borderId="1" fillId="4" fontId="3" numFmtId="0" xfId="0" applyAlignment="1" applyBorder="1" applyFill="1" applyFont="1">
      <alignment horizontal="center" shrinkToFit="0" vertical="bottom" wrapText="0"/>
    </xf>
    <xf borderId="1" fillId="2" fontId="3" numFmtId="0" xfId="0" applyBorder="1" applyFont="1"/>
    <xf borderId="0" fillId="0" fontId="4" numFmtId="0" xfId="0" applyAlignment="1" applyFont="1">
      <alignment shrinkToFit="0" vertical="bottom" wrapText="0"/>
    </xf>
    <xf borderId="0" fillId="0" fontId="9" numFmtId="0" xfId="0" applyAlignment="1" applyFont="1">
      <alignment shrinkToFit="0" vertical="bottom" wrapText="0"/>
    </xf>
    <xf borderId="1" fillId="0" fontId="10" numFmtId="0" xfId="0" applyAlignment="1" applyBorder="1" applyFont="1">
      <alignment horizontal="right" vertical="bottom"/>
    </xf>
    <xf borderId="0" fillId="0" fontId="7" numFmtId="0" xfId="0" applyAlignment="1" applyFont="1">
      <alignment shrinkToFit="0" vertical="bottom" wrapText="0"/>
    </xf>
    <xf borderId="1" fillId="5" fontId="10" numFmtId="0" xfId="0" applyAlignment="1" applyBorder="1" applyFill="1" applyFont="1">
      <alignment vertical="bottom"/>
    </xf>
    <xf borderId="1" fillId="0" fontId="10" numFmtId="0" xfId="0" applyAlignment="1" applyBorder="1" applyFont="1">
      <alignment shrinkToFit="0" vertical="bottom" wrapText="1"/>
    </xf>
    <xf borderId="1" fillId="3" fontId="3" numFmtId="0" xfId="0" applyAlignment="1" applyBorder="1" applyFont="1">
      <alignment vertical="bottom"/>
    </xf>
    <xf borderId="0" fillId="0" fontId="7" numFmtId="0" xfId="0" applyAlignment="1" applyFont="1">
      <alignment shrinkToFit="0" vertical="bottom" wrapText="1"/>
    </xf>
    <xf borderId="2" fillId="4" fontId="9" numFmtId="0" xfId="0" applyAlignment="1" applyBorder="1" applyFont="1">
      <alignment shrinkToFit="0" vertical="bottom" wrapText="0"/>
    </xf>
    <xf borderId="0" fillId="0" fontId="11" numFmtId="0" xfId="0" applyAlignment="1" applyFont="1">
      <alignment readingOrder="0" shrinkToFit="0" wrapText="1"/>
    </xf>
    <xf borderId="0" fillId="0" fontId="12" numFmtId="0" xfId="0" applyAlignment="1" applyFont="1">
      <alignment shrinkToFit="0" wrapText="1"/>
    </xf>
    <xf borderId="0" fillId="2" fontId="13" numFmtId="0" xfId="0" applyAlignment="1" applyFont="1">
      <alignment readingOrder="0" shrinkToFit="0" wrapText="1"/>
    </xf>
    <xf borderId="0" fillId="0" fontId="12" numFmtId="0" xfId="0" applyAlignment="1" applyFont="1">
      <alignment readingOrder="0" shrinkToFit="0" wrapText="1"/>
    </xf>
    <xf borderId="0" fillId="0" fontId="5" numFmtId="0" xfId="0" applyAlignment="1" applyFont="1">
      <alignment vertical="bottom"/>
    </xf>
    <xf borderId="0" fillId="0" fontId="10" numFmtId="0" xfId="0" applyAlignment="1" applyFont="1">
      <alignment vertical="bottom"/>
    </xf>
    <xf borderId="2" fillId="6" fontId="8" numFmtId="0" xfId="0" applyAlignment="1" applyBorder="1" applyFill="1" applyFont="1">
      <alignment horizontal="right" vertical="bottom"/>
    </xf>
    <xf borderId="2" fillId="7" fontId="8" numFmtId="0" xfId="0" applyAlignment="1" applyBorder="1" applyFill="1" applyFont="1">
      <alignment vertical="bottom"/>
    </xf>
    <xf borderId="1" fillId="0" fontId="4" numFmtId="0" xfId="0" applyAlignment="1" applyBorder="1" applyFont="1">
      <alignment shrinkToFit="0" vertical="bottom" wrapText="0"/>
    </xf>
    <xf borderId="2" fillId="3" fontId="3" numFmtId="0" xfId="0" applyAlignment="1" applyBorder="1" applyFont="1">
      <alignment shrinkToFit="0" vertical="bottom" wrapText="0"/>
    </xf>
    <xf borderId="2" fillId="6" fontId="9" numFmtId="0" xfId="0" applyAlignment="1" applyBorder="1" applyFont="1">
      <alignment shrinkToFit="0" vertical="bottom" wrapText="0"/>
    </xf>
    <xf borderId="1" fillId="5" fontId="7" numFmtId="0" xfId="0" applyAlignment="1" applyBorder="1" applyFont="1">
      <alignment shrinkToFit="0" vertical="bottom" wrapText="0"/>
    </xf>
    <xf borderId="2" fillId="6" fontId="3" numFmtId="0" xfId="0" applyAlignment="1" applyBorder="1" applyFont="1">
      <alignment vertical="bottom"/>
    </xf>
    <xf borderId="2" fillId="7" fontId="9" numFmtId="0" xfId="0" applyAlignment="1" applyBorder="1" applyFont="1">
      <alignment shrinkToFit="0" vertical="bottom" wrapText="0"/>
    </xf>
    <xf borderId="1" fillId="0" fontId="3" numFmtId="0" xfId="0" applyAlignment="1" applyBorder="1" applyFont="1">
      <alignment shrinkToFit="0" vertical="bottom" wrapText="0"/>
    </xf>
    <xf borderId="1" fillId="7" fontId="9" numFmtId="0" xfId="0" applyAlignment="1" applyBorder="1" applyFont="1">
      <alignment shrinkToFit="0" vertical="bottom" wrapText="1"/>
    </xf>
    <xf borderId="1" fillId="0" fontId="9" numFmtId="0" xfId="0" applyAlignment="1" applyBorder="1" applyFont="1">
      <alignment shrinkToFit="0" vertical="bottom" wrapText="0"/>
    </xf>
    <xf borderId="1" fillId="0" fontId="9" numFmtId="0" xfId="0" applyAlignment="1" applyBorder="1" applyFont="1">
      <alignment shrinkToFit="0" vertical="bottom" wrapText="1"/>
    </xf>
    <xf borderId="3" fillId="0" fontId="7" numFmtId="0" xfId="0" applyAlignment="1" applyBorder="1" applyFont="1">
      <alignment shrinkToFit="0" vertical="bottom" wrapText="1"/>
    </xf>
    <xf borderId="4" fillId="0" fontId="14" numFmtId="0" xfId="0" applyBorder="1" applyFont="1"/>
    <xf borderId="5" fillId="0" fontId="14" numFmtId="0" xfId="0" applyBorder="1" applyFont="1"/>
    <xf borderId="1" fillId="0" fontId="3" numFmtId="0" xfId="0" applyAlignment="1" applyBorder="1" applyFont="1">
      <alignment vertical="bottom"/>
    </xf>
    <xf borderId="2" fillId="3" fontId="3" numFmtId="0" xfId="0" applyAlignment="1" applyBorder="1" applyFont="1">
      <alignment vertical="bottom"/>
    </xf>
    <xf borderId="2" fillId="6" fontId="8" numFmtId="0" xfId="0" applyAlignment="1" applyBorder="1" applyFont="1">
      <alignment vertical="bottom"/>
    </xf>
    <xf borderId="0" fillId="0" fontId="10"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44.0"/>
    <col customWidth="1" min="3" max="3" width="12.0"/>
    <col customWidth="1" min="4" max="4" width="30.0"/>
    <col customWidth="1" min="5" max="5" width="60.0"/>
    <col customWidth="1" min="6" max="6" width="8.0"/>
    <col customWidth="1" min="7" max="26" width="8.71"/>
  </cols>
  <sheetData>
    <row r="1">
      <c r="A1" s="1" t="s">
        <v>2</v>
      </c>
    </row>
    <row r="2" ht="24.0" customHeight="1">
      <c r="A2" s="5" t="s">
        <v>4</v>
      </c>
    </row>
    <row r="4">
      <c r="A4" s="6" t="s">
        <v>6</v>
      </c>
    </row>
    <row r="5">
      <c r="A5" s="7" t="s">
        <v>8</v>
      </c>
      <c r="B5" s="7" t="s">
        <v>9</v>
      </c>
      <c r="C5" s="7" t="s">
        <v>11</v>
      </c>
      <c r="D5" s="7" t="s">
        <v>13</v>
      </c>
      <c r="E5" s="7" t="s">
        <v>15</v>
      </c>
    </row>
    <row r="6">
      <c r="A6" s="10" t="s">
        <v>17</v>
      </c>
      <c r="B6" s="10" t="s">
        <v>20</v>
      </c>
      <c r="C6" s="10" t="s">
        <v>21</v>
      </c>
      <c r="D6" s="10" t="s">
        <v>22</v>
      </c>
      <c r="E6" s="10" t="s">
        <v>23</v>
      </c>
    </row>
    <row r="7">
      <c r="A7" s="10" t="s">
        <v>24</v>
      </c>
      <c r="B7" s="10" t="s">
        <v>25</v>
      </c>
      <c r="C7" s="10" t="s">
        <v>26</v>
      </c>
      <c r="D7" s="10" t="s">
        <v>27</v>
      </c>
      <c r="E7" s="10" t="s">
        <v>28</v>
      </c>
    </row>
    <row r="8">
      <c r="A8" s="10" t="s">
        <v>29</v>
      </c>
      <c r="B8" s="10" t="s">
        <v>31</v>
      </c>
      <c r="C8" s="10" t="s">
        <v>32</v>
      </c>
      <c r="D8" s="10" t="s">
        <v>34</v>
      </c>
      <c r="E8" s="10" t="s">
        <v>35</v>
      </c>
    </row>
    <row r="9">
      <c r="A9" s="10" t="s">
        <v>36</v>
      </c>
      <c r="B9" s="10" t="s">
        <v>37</v>
      </c>
      <c r="C9" s="10" t="s">
        <v>39</v>
      </c>
      <c r="D9" s="10" t="s">
        <v>40</v>
      </c>
      <c r="E9" s="10" t="s">
        <v>41</v>
      </c>
    </row>
    <row r="10">
      <c r="A10" s="10" t="s">
        <v>44</v>
      </c>
      <c r="B10" s="10" t="s">
        <v>45</v>
      </c>
      <c r="C10" s="10" t="s">
        <v>48</v>
      </c>
      <c r="D10" s="10" t="s">
        <v>50</v>
      </c>
      <c r="E10" s="10" t="s">
        <v>52</v>
      </c>
    </row>
    <row r="11">
      <c r="A11" s="10" t="s">
        <v>53</v>
      </c>
      <c r="B11" s="10" t="s">
        <v>55</v>
      </c>
      <c r="C11" s="10" t="s">
        <v>56</v>
      </c>
      <c r="D11" s="10" t="s">
        <v>58</v>
      </c>
      <c r="E11" s="10" t="s">
        <v>60</v>
      </c>
    </row>
    <row r="12">
      <c r="A12" s="10" t="s">
        <v>63</v>
      </c>
      <c r="B12" s="10" t="s">
        <v>65</v>
      </c>
      <c r="C12" s="10" t="s">
        <v>68</v>
      </c>
      <c r="D12" s="10" t="s">
        <v>69</v>
      </c>
      <c r="E12" s="10" t="s">
        <v>71</v>
      </c>
    </row>
    <row r="13">
      <c r="A13" s="10" t="s">
        <v>72</v>
      </c>
      <c r="B13" s="10" t="s">
        <v>73</v>
      </c>
      <c r="C13" s="10" t="s">
        <v>74</v>
      </c>
      <c r="D13" s="10" t="s">
        <v>75</v>
      </c>
      <c r="E13" s="10" t="s">
        <v>76</v>
      </c>
    </row>
    <row r="15">
      <c r="A15" s="6" t="s">
        <v>77</v>
      </c>
    </row>
    <row r="16" ht="39.75" customHeight="1">
      <c r="A16" s="25" t="s">
        <v>78</v>
      </c>
    </row>
    <row r="17" ht="39.75" customHeight="1">
      <c r="A17" s="25" t="s">
        <v>79</v>
      </c>
    </row>
    <row r="18" ht="39.75" customHeight="1">
      <c r="A18" s="25" t="s">
        <v>80</v>
      </c>
    </row>
    <row r="19" ht="39.75" customHeight="1">
      <c r="A19" s="25" t="s">
        <v>82</v>
      </c>
    </row>
    <row r="21" ht="15.75" customHeight="1">
      <c r="A21" s="6" t="s">
        <v>83</v>
      </c>
    </row>
    <row r="22" ht="30.0" customHeight="1">
      <c r="A22" s="25" t="s">
        <v>85</v>
      </c>
    </row>
    <row r="23" ht="30.0" customHeight="1">
      <c r="A23" s="25" t="s">
        <v>87</v>
      </c>
    </row>
    <row r="24" ht="30.0" customHeight="1">
      <c r="A24" s="25" t="s">
        <v>88</v>
      </c>
    </row>
    <row r="25" ht="15.75" customHeight="1"/>
    <row r="26" ht="15.75" customHeight="1"/>
    <row r="27" ht="15.75" customHeight="1">
      <c r="A27" s="27" t="s">
        <v>89</v>
      </c>
    </row>
    <row r="28" ht="15.75" customHeight="1">
      <c r="A28" s="28"/>
      <c r="B28" s="28"/>
      <c r="C28" s="28"/>
      <c r="D28" s="28"/>
      <c r="E28" s="28"/>
    </row>
    <row r="29" ht="15.75" customHeight="1">
      <c r="A29" s="29" t="s">
        <v>92</v>
      </c>
      <c r="B29" s="29" t="s">
        <v>9</v>
      </c>
      <c r="C29" s="29" t="s">
        <v>94</v>
      </c>
      <c r="D29" s="29" t="s">
        <v>95</v>
      </c>
      <c r="E29" s="29" t="s">
        <v>15</v>
      </c>
    </row>
    <row r="30" ht="15.75" customHeight="1">
      <c r="A30" s="30" t="s">
        <v>98</v>
      </c>
      <c r="B30" s="30" t="s">
        <v>99</v>
      </c>
      <c r="C30" s="30" t="s">
        <v>100</v>
      </c>
      <c r="D30" s="30" t="s">
        <v>101</v>
      </c>
      <c r="E30" s="30" t="s">
        <v>102</v>
      </c>
    </row>
    <row r="31" ht="15.75" customHeight="1">
      <c r="A31" s="30" t="s">
        <v>98</v>
      </c>
      <c r="B31" s="30" t="s">
        <v>103</v>
      </c>
      <c r="C31" s="30" t="s">
        <v>104</v>
      </c>
      <c r="D31" s="30" t="s">
        <v>105</v>
      </c>
      <c r="E31" s="30" t="s">
        <v>102</v>
      </c>
    </row>
    <row r="32" ht="15.75" customHeight="1">
      <c r="A32" s="30" t="s">
        <v>106</v>
      </c>
      <c r="B32" s="30" t="s">
        <v>107</v>
      </c>
      <c r="C32" s="30" t="s">
        <v>100</v>
      </c>
      <c r="D32" s="30" t="s">
        <v>109</v>
      </c>
      <c r="E32" s="30" t="s">
        <v>102</v>
      </c>
    </row>
    <row r="33" ht="15.75" customHeight="1">
      <c r="A33" s="30" t="s">
        <v>106</v>
      </c>
      <c r="B33" s="30" t="s">
        <v>111</v>
      </c>
      <c r="C33" s="30" t="s">
        <v>104</v>
      </c>
      <c r="D33" s="30" t="s">
        <v>105</v>
      </c>
      <c r="E33" s="30" t="s">
        <v>102</v>
      </c>
    </row>
    <row r="34" ht="15.75" customHeight="1">
      <c r="A34" s="30" t="s">
        <v>112</v>
      </c>
      <c r="B34" s="30" t="s">
        <v>113</v>
      </c>
      <c r="C34" s="30" t="s">
        <v>104</v>
      </c>
      <c r="D34" s="30" t="s">
        <v>105</v>
      </c>
      <c r="E34" s="30" t="s">
        <v>102</v>
      </c>
    </row>
    <row r="35" ht="15.75" customHeight="1">
      <c r="A35" s="30" t="s">
        <v>112</v>
      </c>
      <c r="B35" s="30" t="s">
        <v>114</v>
      </c>
      <c r="C35" s="30" t="s">
        <v>100</v>
      </c>
      <c r="D35" s="30" t="s">
        <v>115</v>
      </c>
      <c r="E35" s="30" t="s">
        <v>102</v>
      </c>
    </row>
    <row r="36" ht="15.75" customHeight="1">
      <c r="A36" s="30" t="s">
        <v>116</v>
      </c>
      <c r="B36" s="30" t="s">
        <v>117</v>
      </c>
      <c r="C36" s="30" t="s">
        <v>104</v>
      </c>
      <c r="D36" s="30" t="s">
        <v>105</v>
      </c>
      <c r="E36" s="30" t="s">
        <v>118</v>
      </c>
    </row>
    <row r="37" ht="15.75" customHeight="1">
      <c r="A37" s="30" t="s">
        <v>116</v>
      </c>
      <c r="B37" s="30" t="s">
        <v>120</v>
      </c>
      <c r="C37" s="30" t="s">
        <v>104</v>
      </c>
      <c r="D37" s="30" t="s">
        <v>105</v>
      </c>
      <c r="E37" s="30" t="s">
        <v>102</v>
      </c>
    </row>
    <row r="38" ht="15.75" customHeight="1">
      <c r="A38" s="30" t="s">
        <v>123</v>
      </c>
      <c r="B38" s="30" t="s">
        <v>55</v>
      </c>
      <c r="C38" s="30" t="s">
        <v>104</v>
      </c>
      <c r="D38" s="30" t="s">
        <v>105</v>
      </c>
      <c r="E38" s="30" t="s">
        <v>124</v>
      </c>
    </row>
    <row r="39" ht="15.75" customHeight="1">
      <c r="A39" s="30" t="s">
        <v>125</v>
      </c>
      <c r="B39" s="30" t="s">
        <v>126</v>
      </c>
      <c r="C39" s="30" t="s">
        <v>104</v>
      </c>
      <c r="D39" s="30" t="s">
        <v>105</v>
      </c>
      <c r="E39" s="30" t="s">
        <v>127</v>
      </c>
    </row>
    <row r="40" ht="15.75" customHeight="1">
      <c r="A40" s="30" t="s">
        <v>128</v>
      </c>
      <c r="B40" s="30" t="s">
        <v>129</v>
      </c>
      <c r="C40" s="30" t="s">
        <v>104</v>
      </c>
      <c r="D40" s="30" t="s">
        <v>105</v>
      </c>
      <c r="E40" s="30" t="s">
        <v>102</v>
      </c>
    </row>
    <row r="41" ht="15.75" customHeight="1">
      <c r="A41" s="30" t="s">
        <v>132</v>
      </c>
      <c r="B41" s="30" t="s">
        <v>133</v>
      </c>
      <c r="C41" s="30" t="s">
        <v>100</v>
      </c>
      <c r="D41" s="30" t="s">
        <v>134</v>
      </c>
      <c r="E41" s="30" t="s">
        <v>102</v>
      </c>
    </row>
    <row r="42" ht="15.75" customHeight="1">
      <c r="A42" s="30" t="s">
        <v>135</v>
      </c>
      <c r="B42" s="30" t="s">
        <v>136</v>
      </c>
      <c r="C42" s="30" t="s">
        <v>100</v>
      </c>
      <c r="D42" s="30" t="s">
        <v>137</v>
      </c>
      <c r="E42" s="30" t="s">
        <v>138</v>
      </c>
    </row>
    <row r="43" ht="15.75" customHeight="1">
      <c r="A43" s="30" t="s">
        <v>135</v>
      </c>
      <c r="B43" s="30" t="s">
        <v>139</v>
      </c>
      <c r="C43" s="30" t="s">
        <v>100</v>
      </c>
      <c r="D43" s="30" t="s">
        <v>140</v>
      </c>
      <c r="E43" s="30" t="s">
        <v>141</v>
      </c>
    </row>
    <row r="44" ht="15.75" customHeight="1">
      <c r="A44" s="30" t="s">
        <v>142</v>
      </c>
      <c r="B44" s="30" t="s">
        <v>143</v>
      </c>
      <c r="C44" s="30" t="s">
        <v>100</v>
      </c>
      <c r="D44" s="30" t="s">
        <v>145</v>
      </c>
      <c r="E44" s="30" t="s">
        <v>102</v>
      </c>
    </row>
    <row r="45" ht="15.75" customHeight="1">
      <c r="A45" s="28"/>
      <c r="B45" s="28"/>
      <c r="C45" s="28"/>
      <c r="D45" s="28"/>
      <c r="E45" s="28"/>
    </row>
    <row r="46" ht="15.75" customHeight="1">
      <c r="A46" s="27" t="s">
        <v>146</v>
      </c>
    </row>
    <row r="47" ht="15.75" customHeight="1">
      <c r="A47" s="30" t="s">
        <v>148</v>
      </c>
    </row>
    <row r="48" ht="15.75" customHeight="1">
      <c r="A48" s="30" t="s">
        <v>149</v>
      </c>
    </row>
    <row r="49" ht="15.75" customHeight="1">
      <c r="A49" s="30" t="s">
        <v>150</v>
      </c>
    </row>
    <row r="50" ht="15.75" customHeight="1">
      <c r="A50" s="28"/>
      <c r="B50" s="28"/>
      <c r="C50" s="28"/>
      <c r="D50" s="28"/>
      <c r="E50" s="28"/>
    </row>
    <row r="51" ht="15.75" customHeight="1">
      <c r="A51" s="27" t="s">
        <v>152</v>
      </c>
    </row>
    <row r="52" ht="15.75" customHeight="1">
      <c r="A52" s="30" t="s">
        <v>153</v>
      </c>
    </row>
    <row r="53" ht="15.75" customHeight="1">
      <c r="A53" s="28"/>
      <c r="B53" s="28"/>
      <c r="C53" s="28"/>
      <c r="D53" s="28"/>
      <c r="E53" s="28"/>
    </row>
    <row r="54" ht="15.75" customHeight="1">
      <c r="A54" s="27" t="s">
        <v>154</v>
      </c>
    </row>
    <row r="55" ht="15.75" customHeight="1">
      <c r="A55" s="30" t="s">
        <v>156</v>
      </c>
    </row>
    <row r="56" ht="15.75" customHeight="1">
      <c r="A56" s="28"/>
      <c r="B56" s="28"/>
      <c r="C56" s="28"/>
      <c r="D56" s="28"/>
      <c r="E56" s="28"/>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2:F2"/>
    <mergeCell ref="A4:F4"/>
    <mergeCell ref="A15:F15"/>
    <mergeCell ref="A16:F16"/>
    <mergeCell ref="A17:F17"/>
    <mergeCell ref="A18:F18"/>
    <mergeCell ref="A19:F19"/>
    <mergeCell ref="A48:E48"/>
    <mergeCell ref="A49:E49"/>
    <mergeCell ref="A51:E51"/>
    <mergeCell ref="A52:E52"/>
    <mergeCell ref="A54:E54"/>
    <mergeCell ref="A55:E55"/>
    <mergeCell ref="A21:F21"/>
    <mergeCell ref="A22:F22"/>
    <mergeCell ref="A23:F23"/>
    <mergeCell ref="A24:F24"/>
    <mergeCell ref="A27:E27"/>
    <mergeCell ref="A46:E46"/>
    <mergeCell ref="A47:E4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64.57"/>
  </cols>
  <sheetData>
    <row r="1">
      <c r="A1" s="2" t="s">
        <v>1</v>
      </c>
      <c r="F1" s="4"/>
      <c r="G1" s="4"/>
      <c r="H1" s="4"/>
      <c r="I1" s="4"/>
      <c r="J1" s="4"/>
      <c r="K1" s="4"/>
      <c r="L1" s="4"/>
      <c r="M1" s="4"/>
      <c r="N1" s="4"/>
      <c r="O1" s="4"/>
      <c r="P1" s="4"/>
      <c r="Q1" s="4"/>
      <c r="R1" s="4"/>
      <c r="S1" s="4"/>
      <c r="T1" s="4"/>
      <c r="U1" s="4"/>
      <c r="V1" s="4"/>
      <c r="W1" s="4"/>
      <c r="X1" s="4"/>
      <c r="Y1" s="4"/>
      <c r="Z1" s="4"/>
    </row>
    <row r="2">
      <c r="A2" s="11" t="s">
        <v>18</v>
      </c>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4" t="s">
        <v>7</v>
      </c>
      <c r="B4" s="14" t="s">
        <v>46</v>
      </c>
      <c r="C4" s="14" t="s">
        <v>47</v>
      </c>
      <c r="D4" s="14" t="s">
        <v>49</v>
      </c>
      <c r="E4" s="17"/>
      <c r="F4" s="4"/>
      <c r="G4" s="4"/>
      <c r="H4" s="4"/>
      <c r="I4" s="4"/>
      <c r="J4" s="4"/>
      <c r="K4" s="4"/>
      <c r="L4" s="4"/>
      <c r="M4" s="4"/>
      <c r="N4" s="4"/>
      <c r="O4" s="4"/>
      <c r="P4" s="4"/>
      <c r="Q4" s="4"/>
      <c r="R4" s="4"/>
      <c r="S4" s="4"/>
      <c r="T4" s="4"/>
      <c r="U4" s="4"/>
      <c r="V4" s="4"/>
      <c r="W4" s="4"/>
      <c r="X4" s="4"/>
      <c r="Y4" s="4"/>
      <c r="Z4" s="4"/>
    </row>
    <row r="5">
      <c r="A5" s="20">
        <v>1.0</v>
      </c>
      <c r="B5" s="22" t="s">
        <v>67</v>
      </c>
      <c r="C5" s="23" t="s">
        <v>70</v>
      </c>
      <c r="D5" s="24"/>
      <c r="E5" s="4"/>
      <c r="F5" s="4"/>
      <c r="G5" s="4"/>
      <c r="H5" s="4"/>
      <c r="I5" s="4"/>
      <c r="J5" s="4"/>
      <c r="K5" s="4"/>
      <c r="L5" s="4"/>
      <c r="M5" s="4"/>
      <c r="N5" s="4"/>
      <c r="O5" s="4"/>
      <c r="P5" s="4"/>
      <c r="Q5" s="4"/>
      <c r="R5" s="4"/>
      <c r="S5" s="4"/>
      <c r="T5" s="4"/>
      <c r="U5" s="4"/>
      <c r="V5" s="4"/>
      <c r="W5" s="4"/>
      <c r="X5" s="4"/>
      <c r="Y5" s="4"/>
      <c r="Z5" s="4"/>
    </row>
    <row r="6">
      <c r="A6" s="20">
        <v>2.0</v>
      </c>
      <c r="B6" s="22" t="s">
        <v>84</v>
      </c>
      <c r="C6" s="23" t="s">
        <v>86</v>
      </c>
      <c r="D6" s="24"/>
      <c r="E6" s="4"/>
      <c r="F6" s="4"/>
      <c r="G6" s="4"/>
      <c r="H6" s="4"/>
      <c r="I6" s="4"/>
      <c r="J6" s="4"/>
      <c r="K6" s="4"/>
      <c r="L6" s="4"/>
      <c r="M6" s="4"/>
      <c r="N6" s="4"/>
      <c r="O6" s="4"/>
      <c r="P6" s="4"/>
      <c r="Q6" s="4"/>
      <c r="R6" s="4"/>
      <c r="S6" s="4"/>
      <c r="T6" s="4"/>
      <c r="U6" s="4"/>
      <c r="V6" s="4"/>
      <c r="W6" s="4"/>
      <c r="X6" s="4"/>
      <c r="Y6" s="4"/>
      <c r="Z6" s="4"/>
    </row>
    <row r="7">
      <c r="A7" s="20">
        <v>3.0</v>
      </c>
      <c r="B7" s="22" t="s">
        <v>91</v>
      </c>
      <c r="C7" s="23" t="s">
        <v>93</v>
      </c>
      <c r="D7" s="24"/>
      <c r="E7" s="4"/>
      <c r="F7" s="4"/>
      <c r="G7" s="4"/>
      <c r="H7" s="4"/>
      <c r="I7" s="4"/>
      <c r="J7" s="4"/>
      <c r="K7" s="4"/>
      <c r="L7" s="4"/>
      <c r="M7" s="4"/>
      <c r="N7" s="4"/>
      <c r="O7" s="4"/>
      <c r="P7" s="4"/>
      <c r="Q7" s="4"/>
      <c r="R7" s="4"/>
      <c r="S7" s="4"/>
      <c r="T7" s="4"/>
      <c r="U7" s="4"/>
      <c r="V7" s="4"/>
      <c r="W7" s="4"/>
      <c r="X7" s="4"/>
      <c r="Y7" s="4"/>
      <c r="Z7" s="4"/>
    </row>
    <row r="8">
      <c r="A8" s="20">
        <v>4.0</v>
      </c>
      <c r="B8" s="22" t="s">
        <v>108</v>
      </c>
      <c r="C8" s="23" t="s">
        <v>110</v>
      </c>
      <c r="D8" s="24"/>
      <c r="E8" s="4"/>
      <c r="F8" s="4"/>
      <c r="G8" s="4"/>
      <c r="H8" s="4"/>
      <c r="I8" s="4"/>
      <c r="J8" s="4"/>
      <c r="K8" s="4"/>
      <c r="L8" s="4"/>
      <c r="M8" s="4"/>
      <c r="N8" s="4"/>
      <c r="O8" s="4"/>
      <c r="P8" s="4"/>
      <c r="Q8" s="4"/>
      <c r="R8" s="4"/>
      <c r="S8" s="4"/>
      <c r="T8" s="4"/>
      <c r="U8" s="4"/>
      <c r="V8" s="4"/>
      <c r="W8" s="4"/>
      <c r="X8" s="4"/>
      <c r="Y8" s="4"/>
      <c r="Z8" s="4"/>
    </row>
    <row r="9">
      <c r="A9" s="20">
        <v>5.0</v>
      </c>
      <c r="B9" s="22" t="s">
        <v>119</v>
      </c>
      <c r="C9" s="23" t="s">
        <v>121</v>
      </c>
      <c r="D9" s="24"/>
      <c r="E9" s="4"/>
      <c r="F9" s="4"/>
      <c r="G9" s="4"/>
      <c r="H9" s="4"/>
      <c r="I9" s="4"/>
      <c r="J9" s="4"/>
      <c r="K9" s="4"/>
      <c r="L9" s="4"/>
      <c r="M9" s="4"/>
      <c r="N9" s="4"/>
      <c r="O9" s="4"/>
      <c r="P9" s="4"/>
      <c r="Q9" s="4"/>
      <c r="R9" s="4"/>
      <c r="S9" s="4"/>
      <c r="T9" s="4"/>
      <c r="U9" s="4"/>
      <c r="V9" s="4"/>
      <c r="W9" s="4"/>
      <c r="X9" s="4"/>
      <c r="Y9" s="4"/>
      <c r="Z9" s="4"/>
    </row>
    <row r="10">
      <c r="A10" s="20">
        <v>6.0</v>
      </c>
      <c r="B10" s="22" t="s">
        <v>130</v>
      </c>
      <c r="C10" s="23" t="s">
        <v>131</v>
      </c>
      <c r="D10" s="24"/>
      <c r="E10" s="4"/>
      <c r="F10" s="4"/>
      <c r="G10" s="4"/>
      <c r="H10" s="4"/>
      <c r="I10" s="4"/>
      <c r="J10" s="4"/>
      <c r="K10" s="4"/>
      <c r="L10" s="4"/>
      <c r="M10" s="4"/>
      <c r="N10" s="4"/>
      <c r="O10" s="4"/>
      <c r="P10" s="4"/>
      <c r="Q10" s="4"/>
      <c r="R10" s="4"/>
      <c r="S10" s="4"/>
      <c r="T10" s="4"/>
      <c r="U10" s="4"/>
      <c r="V10" s="4"/>
      <c r="W10" s="4"/>
      <c r="X10" s="4"/>
      <c r="Y10" s="4"/>
      <c r="Z10" s="4"/>
    </row>
    <row r="11">
      <c r="A11" s="20">
        <v>7.0</v>
      </c>
      <c r="B11" s="22" t="s">
        <v>67</v>
      </c>
      <c r="C11" s="23" t="s">
        <v>144</v>
      </c>
      <c r="D11" s="24"/>
      <c r="E11" s="4"/>
      <c r="F11" s="4"/>
      <c r="G11" s="4"/>
      <c r="H11" s="4"/>
      <c r="I11" s="4"/>
      <c r="J11" s="4"/>
      <c r="K11" s="4"/>
      <c r="L11" s="4"/>
      <c r="M11" s="4"/>
      <c r="N11" s="4"/>
      <c r="O11" s="4"/>
      <c r="P11" s="4"/>
      <c r="Q11" s="4"/>
      <c r="R11" s="4"/>
      <c r="S11" s="4"/>
      <c r="T11" s="4"/>
      <c r="U11" s="4"/>
      <c r="V11" s="4"/>
      <c r="W11" s="4"/>
      <c r="X11" s="4"/>
      <c r="Y11" s="4"/>
      <c r="Z11" s="4"/>
    </row>
    <row r="12">
      <c r="A12" s="20">
        <v>8.0</v>
      </c>
      <c r="B12" s="22" t="s">
        <v>84</v>
      </c>
      <c r="C12" s="23" t="s">
        <v>151</v>
      </c>
      <c r="D12" s="24"/>
      <c r="E12" s="4"/>
      <c r="F12" s="4"/>
      <c r="G12" s="4"/>
      <c r="H12" s="4"/>
      <c r="I12" s="4"/>
      <c r="J12" s="4"/>
      <c r="K12" s="4"/>
      <c r="L12" s="4"/>
      <c r="M12" s="4"/>
      <c r="N12" s="4"/>
      <c r="O12" s="4"/>
      <c r="P12" s="4"/>
      <c r="Q12" s="4"/>
      <c r="R12" s="4"/>
      <c r="S12" s="4"/>
      <c r="T12" s="4"/>
      <c r="U12" s="4"/>
      <c r="V12" s="4"/>
      <c r="W12" s="4"/>
      <c r="X12" s="4"/>
      <c r="Y12" s="4"/>
      <c r="Z12" s="4"/>
    </row>
    <row r="13">
      <c r="A13" s="20">
        <v>9.0</v>
      </c>
      <c r="B13" s="22" t="s">
        <v>91</v>
      </c>
      <c r="C13" s="23" t="s">
        <v>155</v>
      </c>
      <c r="D13" s="24"/>
      <c r="E13" s="4"/>
      <c r="F13" s="4"/>
      <c r="G13" s="4"/>
      <c r="H13" s="4"/>
      <c r="I13" s="4"/>
      <c r="J13" s="4"/>
      <c r="K13" s="4"/>
      <c r="L13" s="4"/>
      <c r="M13" s="4"/>
      <c r="N13" s="4"/>
      <c r="O13" s="4"/>
      <c r="P13" s="4"/>
      <c r="Q13" s="4"/>
      <c r="R13" s="4"/>
      <c r="S13" s="4"/>
      <c r="T13" s="4"/>
      <c r="U13" s="4"/>
      <c r="V13" s="4"/>
      <c r="W13" s="4"/>
      <c r="X13" s="4"/>
      <c r="Y13" s="4"/>
      <c r="Z13" s="4"/>
    </row>
    <row r="14">
      <c r="A14" s="20">
        <v>10.0</v>
      </c>
      <c r="B14" s="22" t="s">
        <v>108</v>
      </c>
      <c r="C14" s="23" t="s">
        <v>157</v>
      </c>
      <c r="D14" s="24"/>
      <c r="E14" s="4"/>
      <c r="F14" s="4"/>
      <c r="G14" s="4"/>
      <c r="H14" s="4"/>
      <c r="I14" s="4"/>
      <c r="J14" s="4"/>
      <c r="K14" s="4"/>
      <c r="L14" s="4"/>
      <c r="M14" s="4"/>
      <c r="N14" s="4"/>
      <c r="O14" s="4"/>
      <c r="P14" s="4"/>
      <c r="Q14" s="4"/>
      <c r="R14" s="4"/>
      <c r="S14" s="4"/>
      <c r="T14" s="4"/>
      <c r="U14" s="4"/>
      <c r="V14" s="4"/>
      <c r="W14" s="4"/>
      <c r="X14" s="4"/>
      <c r="Y14" s="4"/>
      <c r="Z14" s="4"/>
    </row>
    <row r="15">
      <c r="A15" s="20">
        <v>11.0</v>
      </c>
      <c r="B15" s="22" t="s">
        <v>119</v>
      </c>
      <c r="C15" s="23" t="s">
        <v>158</v>
      </c>
      <c r="D15" s="24"/>
      <c r="E15" s="4"/>
      <c r="F15" s="4"/>
      <c r="G15" s="4"/>
      <c r="H15" s="4"/>
      <c r="I15" s="4"/>
      <c r="J15" s="4"/>
      <c r="K15" s="4"/>
      <c r="L15" s="4"/>
      <c r="M15" s="4"/>
      <c r="N15" s="4"/>
      <c r="O15" s="4"/>
      <c r="P15" s="4"/>
      <c r="Q15" s="4"/>
      <c r="R15" s="4"/>
      <c r="S15" s="4"/>
      <c r="T15" s="4"/>
      <c r="U15" s="4"/>
      <c r="V15" s="4"/>
      <c r="W15" s="4"/>
      <c r="X15" s="4"/>
      <c r="Y15" s="4"/>
      <c r="Z15" s="4"/>
    </row>
    <row r="16">
      <c r="A16" s="20">
        <v>12.0</v>
      </c>
      <c r="B16" s="22" t="s">
        <v>130</v>
      </c>
      <c r="C16" s="23" t="s">
        <v>160</v>
      </c>
      <c r="D16" s="24"/>
      <c r="E16" s="4"/>
      <c r="F16" s="4"/>
      <c r="G16" s="4"/>
      <c r="H16" s="4"/>
      <c r="I16" s="4"/>
      <c r="J16" s="4"/>
      <c r="K16" s="4"/>
      <c r="L16" s="4"/>
      <c r="M16" s="4"/>
      <c r="N16" s="4"/>
      <c r="O16" s="4"/>
      <c r="P16" s="4"/>
      <c r="Q16" s="4"/>
      <c r="R16" s="4"/>
      <c r="S16" s="4"/>
      <c r="T16" s="4"/>
      <c r="U16" s="4"/>
      <c r="V16" s="4"/>
      <c r="W16" s="4"/>
      <c r="X16" s="4"/>
      <c r="Y16" s="4"/>
      <c r="Z16" s="4"/>
    </row>
    <row r="17">
      <c r="A17" s="20">
        <v>13.0</v>
      </c>
      <c r="B17" s="22" t="s">
        <v>67</v>
      </c>
      <c r="C17" s="23" t="s">
        <v>163</v>
      </c>
      <c r="D17" s="24"/>
      <c r="E17" s="4"/>
      <c r="F17" s="4"/>
      <c r="G17" s="4"/>
      <c r="H17" s="4"/>
      <c r="I17" s="4"/>
      <c r="J17" s="4"/>
      <c r="K17" s="4"/>
      <c r="L17" s="4"/>
      <c r="M17" s="4"/>
      <c r="N17" s="4"/>
      <c r="O17" s="4"/>
      <c r="P17" s="4"/>
      <c r="Q17" s="4"/>
      <c r="R17" s="4"/>
      <c r="S17" s="4"/>
      <c r="T17" s="4"/>
      <c r="U17" s="4"/>
      <c r="V17" s="4"/>
      <c r="W17" s="4"/>
      <c r="X17" s="4"/>
      <c r="Y17" s="4"/>
      <c r="Z17" s="4"/>
    </row>
    <row r="18">
      <c r="A18" s="20">
        <v>14.0</v>
      </c>
      <c r="B18" s="22" t="s">
        <v>84</v>
      </c>
      <c r="C18" s="23" t="s">
        <v>166</v>
      </c>
      <c r="D18" s="24"/>
      <c r="E18" s="4"/>
      <c r="F18" s="4"/>
      <c r="G18" s="4"/>
      <c r="H18" s="4"/>
      <c r="I18" s="4"/>
      <c r="J18" s="4"/>
      <c r="K18" s="4"/>
      <c r="L18" s="4"/>
      <c r="M18" s="4"/>
      <c r="N18" s="4"/>
      <c r="O18" s="4"/>
      <c r="P18" s="4"/>
      <c r="Q18" s="4"/>
      <c r="R18" s="4"/>
      <c r="S18" s="4"/>
      <c r="T18" s="4"/>
      <c r="U18" s="4"/>
      <c r="V18" s="4"/>
      <c r="W18" s="4"/>
      <c r="X18" s="4"/>
      <c r="Y18" s="4"/>
      <c r="Z18" s="4"/>
    </row>
    <row r="19">
      <c r="A19" s="20">
        <v>15.0</v>
      </c>
      <c r="B19" s="22" t="s">
        <v>91</v>
      </c>
      <c r="C19" s="23" t="s">
        <v>170</v>
      </c>
      <c r="D19" s="24"/>
      <c r="E19" s="4"/>
      <c r="F19" s="4"/>
      <c r="G19" s="4"/>
      <c r="H19" s="4"/>
      <c r="I19" s="4"/>
      <c r="J19" s="4"/>
      <c r="K19" s="4"/>
      <c r="L19" s="4"/>
      <c r="M19" s="4"/>
      <c r="N19" s="4"/>
      <c r="O19" s="4"/>
      <c r="P19" s="4"/>
      <c r="Q19" s="4"/>
      <c r="R19" s="4"/>
      <c r="S19" s="4"/>
      <c r="T19" s="4"/>
      <c r="U19" s="4"/>
      <c r="V19" s="4"/>
      <c r="W19" s="4"/>
      <c r="X19" s="4"/>
      <c r="Y19" s="4"/>
      <c r="Z19" s="4"/>
    </row>
    <row r="20">
      <c r="A20" s="20">
        <v>16.0</v>
      </c>
      <c r="B20" s="22" t="s">
        <v>108</v>
      </c>
      <c r="C20" s="23" t="s">
        <v>175</v>
      </c>
      <c r="D20" s="24"/>
      <c r="E20" s="4"/>
      <c r="F20" s="4"/>
      <c r="G20" s="4"/>
      <c r="H20" s="4"/>
      <c r="I20" s="4"/>
      <c r="J20" s="4"/>
      <c r="K20" s="4"/>
      <c r="L20" s="4"/>
      <c r="M20" s="4"/>
      <c r="N20" s="4"/>
      <c r="O20" s="4"/>
      <c r="P20" s="4"/>
      <c r="Q20" s="4"/>
      <c r="R20" s="4"/>
      <c r="S20" s="4"/>
      <c r="T20" s="4"/>
      <c r="U20" s="4"/>
      <c r="V20" s="4"/>
      <c r="W20" s="4"/>
      <c r="X20" s="4"/>
      <c r="Y20" s="4"/>
      <c r="Z20" s="4"/>
    </row>
    <row r="21">
      <c r="A21" s="20">
        <v>17.0</v>
      </c>
      <c r="B21" s="22" t="s">
        <v>119</v>
      </c>
      <c r="C21" s="23" t="s">
        <v>178</v>
      </c>
      <c r="D21" s="24"/>
      <c r="E21" s="4"/>
      <c r="F21" s="4"/>
      <c r="G21" s="4"/>
      <c r="H21" s="4"/>
      <c r="I21" s="4"/>
      <c r="J21" s="4"/>
      <c r="K21" s="4"/>
      <c r="L21" s="4"/>
      <c r="M21" s="4"/>
      <c r="N21" s="4"/>
      <c r="O21" s="4"/>
      <c r="P21" s="4"/>
      <c r="Q21" s="4"/>
      <c r="R21" s="4"/>
      <c r="S21" s="4"/>
      <c r="T21" s="4"/>
      <c r="U21" s="4"/>
      <c r="V21" s="4"/>
      <c r="W21" s="4"/>
      <c r="X21" s="4"/>
      <c r="Y21" s="4"/>
      <c r="Z21" s="4"/>
    </row>
    <row r="22">
      <c r="A22" s="20">
        <v>18.0</v>
      </c>
      <c r="B22" s="22" t="s">
        <v>130</v>
      </c>
      <c r="C22" s="23" t="s">
        <v>182</v>
      </c>
      <c r="D22" s="2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31" t="s">
        <v>122</v>
      </c>
      <c r="F24" s="4"/>
      <c r="G24" s="4"/>
      <c r="H24" s="4"/>
      <c r="I24" s="4"/>
      <c r="J24" s="4"/>
      <c r="K24" s="4"/>
      <c r="L24" s="4"/>
      <c r="M24" s="4"/>
      <c r="N24" s="4"/>
      <c r="O24" s="4"/>
      <c r="P24" s="4"/>
      <c r="Q24" s="4"/>
      <c r="R24" s="4"/>
      <c r="S24" s="4"/>
      <c r="T24" s="4"/>
      <c r="U24" s="4"/>
      <c r="V24" s="4"/>
      <c r="W24" s="4"/>
      <c r="X24" s="4"/>
      <c r="Y24" s="4"/>
      <c r="Z24" s="4"/>
    </row>
    <row r="25">
      <c r="A25" s="15" t="s">
        <v>62</v>
      </c>
      <c r="B25" s="15" t="s">
        <v>64</v>
      </c>
      <c r="C25" s="4"/>
      <c r="D25" s="4"/>
      <c r="E25" s="4"/>
      <c r="F25" s="4"/>
      <c r="G25" s="4"/>
      <c r="H25" s="4"/>
      <c r="I25" s="4"/>
      <c r="J25" s="4"/>
      <c r="K25" s="4"/>
      <c r="L25" s="4"/>
      <c r="M25" s="4"/>
      <c r="N25" s="4"/>
      <c r="O25" s="4"/>
      <c r="P25" s="4"/>
      <c r="Q25" s="4"/>
      <c r="R25" s="4"/>
      <c r="S25" s="4"/>
      <c r="T25" s="4"/>
      <c r="U25" s="4"/>
      <c r="V25" s="4"/>
      <c r="W25" s="4"/>
      <c r="X25" s="4"/>
      <c r="Y25" s="4"/>
      <c r="Z25" s="4"/>
    </row>
    <row r="26">
      <c r="A26" s="32" t="s">
        <v>192</v>
      </c>
      <c r="B26" s="33">
        <f>SUM(D5:D22)</f>
        <v>0</v>
      </c>
      <c r="C26" s="4"/>
      <c r="D26" s="4"/>
      <c r="E26" s="4"/>
      <c r="F26" s="4"/>
      <c r="G26" s="4"/>
      <c r="H26" s="4"/>
      <c r="I26" s="4"/>
      <c r="J26" s="4"/>
      <c r="K26" s="4"/>
      <c r="L26" s="4"/>
      <c r="M26" s="4"/>
      <c r="N26" s="4"/>
      <c r="O26" s="4"/>
      <c r="P26" s="4"/>
      <c r="Q26" s="4"/>
      <c r="R26" s="4"/>
      <c r="S26" s="4"/>
      <c r="T26" s="4"/>
      <c r="U26" s="4"/>
      <c r="V26" s="4"/>
      <c r="W26" s="4"/>
      <c r="X26" s="4"/>
      <c r="Y26" s="4"/>
      <c r="Z26" s="4"/>
    </row>
    <row r="27">
      <c r="A27" s="32" t="s">
        <v>197</v>
      </c>
      <c r="B27" s="39" t="str">
        <f>IFERROR(AVERAGEIFS(D5:D22,B5:B22,"Hoarding"),"")</f>
        <v/>
      </c>
      <c r="C27" s="4"/>
      <c r="D27" s="4"/>
      <c r="E27" s="4"/>
      <c r="F27" s="4"/>
      <c r="G27" s="4"/>
      <c r="H27" s="4"/>
      <c r="I27" s="4"/>
      <c r="J27" s="4"/>
      <c r="K27" s="4"/>
      <c r="L27" s="4"/>
      <c r="M27" s="4"/>
      <c r="N27" s="4"/>
      <c r="O27" s="4"/>
      <c r="P27" s="4"/>
      <c r="Q27" s="4"/>
      <c r="R27" s="4"/>
      <c r="S27" s="4"/>
      <c r="T27" s="4"/>
      <c r="U27" s="4"/>
      <c r="V27" s="4"/>
      <c r="W27" s="4"/>
      <c r="X27" s="4"/>
      <c r="Y27" s="4"/>
      <c r="Z27" s="4"/>
    </row>
    <row r="28">
      <c r="A28" s="32" t="s">
        <v>205</v>
      </c>
      <c r="B28" s="39" t="str">
        <f>IFERROR(AVERAGEIFS(D5:D22,B5:B22,"Checking"),"")</f>
        <v/>
      </c>
      <c r="C28" s="4"/>
      <c r="D28" s="4"/>
      <c r="E28" s="4"/>
      <c r="F28" s="4"/>
      <c r="G28" s="4"/>
      <c r="H28" s="4"/>
      <c r="I28" s="4"/>
      <c r="J28" s="4"/>
      <c r="K28" s="4"/>
      <c r="L28" s="4"/>
      <c r="M28" s="4"/>
      <c r="N28" s="4"/>
      <c r="O28" s="4"/>
      <c r="P28" s="4"/>
      <c r="Q28" s="4"/>
      <c r="R28" s="4"/>
      <c r="S28" s="4"/>
      <c r="T28" s="4"/>
      <c r="U28" s="4"/>
      <c r="V28" s="4"/>
      <c r="W28" s="4"/>
      <c r="X28" s="4"/>
      <c r="Y28" s="4"/>
      <c r="Z28" s="4"/>
    </row>
    <row r="29">
      <c r="A29" s="32" t="s">
        <v>210</v>
      </c>
      <c r="B29" s="39" t="str">
        <f>IFERROR(AVERAGEIFS(D5:D22,B5:B22,"Ordering"),"")</f>
        <v/>
      </c>
      <c r="C29" s="4"/>
      <c r="D29" s="4"/>
      <c r="E29" s="4"/>
      <c r="F29" s="4"/>
      <c r="G29" s="4"/>
      <c r="H29" s="4"/>
      <c r="I29" s="4"/>
      <c r="J29" s="4"/>
      <c r="K29" s="4"/>
      <c r="L29" s="4"/>
      <c r="M29" s="4"/>
      <c r="N29" s="4"/>
      <c r="O29" s="4"/>
      <c r="P29" s="4"/>
      <c r="Q29" s="4"/>
      <c r="R29" s="4"/>
      <c r="S29" s="4"/>
      <c r="T29" s="4"/>
      <c r="U29" s="4"/>
      <c r="V29" s="4"/>
      <c r="W29" s="4"/>
      <c r="X29" s="4"/>
      <c r="Y29" s="4"/>
      <c r="Z29" s="4"/>
    </row>
    <row r="30">
      <c r="A30" s="32" t="s">
        <v>213</v>
      </c>
      <c r="B30" s="39" t="str">
        <f>IFERROR(AVERAGEIFS(D5:D22,B5:B22,"Neutralizing"),"")</f>
        <v/>
      </c>
      <c r="C30" s="4"/>
      <c r="D30" s="4"/>
      <c r="E30" s="4"/>
      <c r="F30" s="4"/>
      <c r="G30" s="4"/>
      <c r="H30" s="4"/>
      <c r="I30" s="4"/>
      <c r="J30" s="4"/>
      <c r="K30" s="4"/>
      <c r="L30" s="4"/>
      <c r="M30" s="4"/>
      <c r="N30" s="4"/>
      <c r="O30" s="4"/>
      <c r="P30" s="4"/>
      <c r="Q30" s="4"/>
      <c r="R30" s="4"/>
      <c r="S30" s="4"/>
      <c r="T30" s="4"/>
      <c r="U30" s="4"/>
      <c r="V30" s="4"/>
      <c r="W30" s="4"/>
      <c r="X30" s="4"/>
      <c r="Y30" s="4"/>
      <c r="Z30" s="4"/>
    </row>
    <row r="31">
      <c r="A31" s="32" t="s">
        <v>217</v>
      </c>
      <c r="B31" s="39" t="str">
        <f>IFERROR(AVERAGEIFS(D5:D22,B5:B22,"Washing"),"")</f>
        <v/>
      </c>
      <c r="C31" s="4"/>
      <c r="D31" s="4"/>
      <c r="E31" s="4"/>
      <c r="F31" s="4"/>
      <c r="G31" s="4"/>
      <c r="H31" s="4"/>
      <c r="I31" s="4"/>
      <c r="J31" s="4"/>
      <c r="K31" s="4"/>
      <c r="L31" s="4"/>
      <c r="M31" s="4"/>
      <c r="N31" s="4"/>
      <c r="O31" s="4"/>
      <c r="P31" s="4"/>
      <c r="Q31" s="4"/>
      <c r="R31" s="4"/>
      <c r="S31" s="4"/>
      <c r="T31" s="4"/>
      <c r="U31" s="4"/>
      <c r="V31" s="4"/>
      <c r="W31" s="4"/>
      <c r="X31" s="4"/>
      <c r="Y31" s="4"/>
      <c r="Z31" s="4"/>
    </row>
    <row r="32">
      <c r="A32" s="32" t="s">
        <v>221</v>
      </c>
      <c r="B32" s="39" t="str">
        <f>IFERROR(AVERAGEIFS(D5:D22,B5:B22,"Obsessing"),"")</f>
        <v/>
      </c>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15" t="s">
        <v>226</v>
      </c>
      <c r="B34" s="34" t="str">
        <f>IF(B26&gt;=18,"POSITIVE SCREEN (total &gt;=18)","Negative screen")</f>
        <v>Negative screen</v>
      </c>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11" t="s">
        <v>228</v>
      </c>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A1:E1"/>
    <mergeCell ref="A2:E2"/>
    <mergeCell ref="A24:E24"/>
    <mergeCell ref="A36:E36"/>
  </mergeCells>
  <dataValidations>
    <dataValidation type="list" allowBlank="1" showInputMessage="1" showErrorMessage="1" prompt="Invalid entry - Choose one of: 0,1,2,3,4" sqref="D5:D22">
      <formula1>"0,1,2,3,4"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65.0"/>
    <col customWidth="1" min="3" max="3" width="12.0"/>
    <col customWidth="1" min="4" max="4" width="22.0"/>
    <col customWidth="1" min="5" max="26" width="8.71"/>
  </cols>
  <sheetData>
    <row r="1">
      <c r="A1" s="3" t="s">
        <v>0</v>
      </c>
    </row>
    <row r="2" ht="19.5" customHeight="1">
      <c r="A2" s="5" t="s">
        <v>5</v>
      </c>
    </row>
    <row r="4">
      <c r="A4" s="7" t="s">
        <v>7</v>
      </c>
      <c r="B4" s="7" t="s">
        <v>10</v>
      </c>
      <c r="C4" s="7" t="s">
        <v>12</v>
      </c>
      <c r="D4" s="7" t="s">
        <v>14</v>
      </c>
    </row>
    <row r="5">
      <c r="A5" s="9">
        <v>1.0</v>
      </c>
      <c r="B5" s="10" t="s">
        <v>19</v>
      </c>
      <c r="C5" s="12"/>
      <c r="D5" s="13" t="s">
        <v>30</v>
      </c>
    </row>
    <row r="6">
      <c r="A6" s="9">
        <v>2.0</v>
      </c>
      <c r="B6" s="10" t="s">
        <v>33</v>
      </c>
      <c r="C6" s="12"/>
      <c r="D6" s="13" t="s">
        <v>30</v>
      </c>
    </row>
    <row r="7">
      <c r="A7" s="9">
        <v>3.0</v>
      </c>
      <c r="B7" s="10" t="s">
        <v>38</v>
      </c>
      <c r="C7" s="12"/>
      <c r="D7" s="13" t="s">
        <v>30</v>
      </c>
    </row>
    <row r="8">
      <c r="A8" s="9">
        <v>4.0</v>
      </c>
      <c r="B8" s="10" t="s">
        <v>43</v>
      </c>
      <c r="C8" s="16"/>
      <c r="D8" s="13" t="s">
        <v>30</v>
      </c>
    </row>
    <row r="9">
      <c r="A9" s="9">
        <v>5.0</v>
      </c>
      <c r="B9" s="10" t="s">
        <v>51</v>
      </c>
      <c r="C9" s="16"/>
      <c r="D9" s="13" t="s">
        <v>30</v>
      </c>
    </row>
    <row r="10">
      <c r="A10" s="9">
        <v>6.0</v>
      </c>
      <c r="B10" s="10" t="s">
        <v>54</v>
      </c>
      <c r="C10" s="16"/>
      <c r="D10" s="13" t="s">
        <v>57</v>
      </c>
    </row>
    <row r="12">
      <c r="A12" s="18" t="s">
        <v>59</v>
      </c>
    </row>
    <row r="14">
      <c r="A14" s="6" t="s">
        <v>61</v>
      </c>
    </row>
    <row r="15">
      <c r="A15" s="19" t="s">
        <v>62</v>
      </c>
      <c r="B15" s="19" t="s">
        <v>64</v>
      </c>
    </row>
    <row r="16">
      <c r="A16" s="21" t="s">
        <v>66</v>
      </c>
      <c r="B16" s="26" t="str">
        <f>IFS(OR(C8="Yes",C9="Yes",C10="Yes"),"HIGH RISK — get immediate help: call/text 988, call 911, or go to the ER. Stay with them until evaluated.",OR(C6="Yes",C7="Yes"),"Positive screen — seek behavioral healthcare for further evaluation.",TRUE(),"Negative screen — no risk indicators endorsed.")</f>
        <v>Negative screen — no risk indicators endorsed.</v>
      </c>
    </row>
    <row r="17">
      <c r="A17" s="19" t="s">
        <v>90</v>
      </c>
      <c r="B17" s="26" t="str">
        <f>IF(OR(C8="Yes",C9="Yes",C10="Yes"),"ROUTE TO CRISIS ESCALATION WORKFLOW NOW","-")</f>
        <v>-</v>
      </c>
    </row>
    <row r="19" ht="39.75" customHeight="1">
      <c r="A19" s="5" t="s">
        <v>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D1"/>
    <mergeCell ref="A2:D2"/>
    <mergeCell ref="A12:D12"/>
    <mergeCell ref="A14:D14"/>
    <mergeCell ref="A19:D19"/>
  </mergeCells>
  <dataValidations>
    <dataValidation type="list" allowBlank="1" showInputMessage="1" showErrorMessage="1" prompt="Invalid entry - Choose one of: Yes,No" sqref="C5:C10">
      <formula1>"Yes,No"</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6.43"/>
  </cols>
  <sheetData>
    <row r="1">
      <c r="A1" s="2" t="s">
        <v>3</v>
      </c>
      <c r="E1" s="4"/>
      <c r="F1" s="4"/>
      <c r="G1" s="4"/>
      <c r="H1" s="4"/>
      <c r="I1" s="4"/>
      <c r="J1" s="4"/>
      <c r="K1" s="4"/>
      <c r="L1" s="4"/>
      <c r="M1" s="4"/>
      <c r="N1" s="4"/>
      <c r="O1" s="4"/>
      <c r="P1" s="4"/>
      <c r="Q1" s="4"/>
      <c r="R1" s="4"/>
      <c r="S1" s="4"/>
      <c r="T1" s="4"/>
      <c r="U1" s="4"/>
      <c r="V1" s="4"/>
      <c r="W1" s="4"/>
      <c r="X1" s="4"/>
      <c r="Y1" s="4"/>
      <c r="Z1" s="4"/>
    </row>
    <row r="2">
      <c r="A2" s="8" t="s">
        <v>16</v>
      </c>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5" t="s">
        <v>42</v>
      </c>
      <c r="E4" s="4"/>
      <c r="F4" s="4"/>
      <c r="G4" s="4"/>
      <c r="H4" s="4"/>
      <c r="I4" s="4"/>
      <c r="J4" s="4"/>
      <c r="K4" s="4"/>
      <c r="L4" s="4"/>
      <c r="M4" s="4"/>
      <c r="N4" s="4"/>
      <c r="O4" s="4"/>
      <c r="P4" s="4"/>
      <c r="Q4" s="4"/>
      <c r="R4" s="4"/>
      <c r="S4" s="4"/>
      <c r="T4" s="4"/>
      <c r="U4" s="4"/>
      <c r="V4" s="4"/>
      <c r="W4" s="4"/>
      <c r="X4" s="4"/>
      <c r="Y4" s="4"/>
      <c r="Z4" s="4"/>
    </row>
    <row r="5">
      <c r="A5" s="14" t="s">
        <v>7</v>
      </c>
      <c r="B5" s="14" t="s">
        <v>47</v>
      </c>
      <c r="C5" s="14" t="s">
        <v>12</v>
      </c>
      <c r="D5" s="17"/>
      <c r="E5" s="4"/>
      <c r="F5" s="4"/>
      <c r="G5" s="4"/>
      <c r="H5" s="4"/>
      <c r="I5" s="4"/>
      <c r="J5" s="4"/>
      <c r="K5" s="4"/>
      <c r="L5" s="4"/>
      <c r="M5" s="4"/>
      <c r="N5" s="4"/>
      <c r="O5" s="4"/>
      <c r="P5" s="4"/>
      <c r="Q5" s="4"/>
      <c r="R5" s="4"/>
      <c r="S5" s="4"/>
      <c r="T5" s="4"/>
      <c r="U5" s="4"/>
      <c r="V5" s="4"/>
      <c r="W5" s="4"/>
      <c r="X5" s="4"/>
      <c r="Y5" s="4"/>
      <c r="Z5" s="4"/>
    </row>
    <row r="6">
      <c r="A6" s="20">
        <v>1.0</v>
      </c>
      <c r="B6" s="23" t="s">
        <v>81</v>
      </c>
      <c r="C6" s="24"/>
      <c r="D6" s="4"/>
      <c r="E6" s="4"/>
      <c r="F6" s="4"/>
      <c r="G6" s="4"/>
      <c r="H6" s="4"/>
      <c r="I6" s="4"/>
      <c r="J6" s="4"/>
      <c r="K6" s="4"/>
      <c r="L6" s="4"/>
      <c r="M6" s="4"/>
      <c r="N6" s="4"/>
      <c r="O6" s="4"/>
      <c r="P6" s="4"/>
      <c r="Q6" s="4"/>
      <c r="R6" s="4"/>
      <c r="S6" s="4"/>
      <c r="T6" s="4"/>
      <c r="U6" s="4"/>
      <c r="V6" s="4"/>
      <c r="W6" s="4"/>
      <c r="X6" s="4"/>
      <c r="Y6" s="4"/>
      <c r="Z6" s="4"/>
    </row>
    <row r="7">
      <c r="A7" s="20">
        <v>2.0</v>
      </c>
      <c r="B7" s="23" t="s">
        <v>96</v>
      </c>
      <c r="C7" s="2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31" t="s">
        <v>122</v>
      </c>
      <c r="E9" s="4"/>
      <c r="F9" s="4"/>
      <c r="G9" s="4"/>
      <c r="H9" s="4"/>
      <c r="I9" s="4"/>
      <c r="J9" s="4"/>
      <c r="K9" s="4"/>
      <c r="L9" s="4"/>
      <c r="M9" s="4"/>
      <c r="N9" s="4"/>
      <c r="O9" s="4"/>
      <c r="P9" s="4"/>
      <c r="Q9" s="4"/>
      <c r="R9" s="4"/>
      <c r="S9" s="4"/>
      <c r="T9" s="4"/>
      <c r="U9" s="4"/>
      <c r="V9" s="4"/>
      <c r="W9" s="4"/>
      <c r="X9" s="4"/>
      <c r="Y9" s="4"/>
      <c r="Z9" s="4"/>
    </row>
    <row r="10">
      <c r="A10" s="15" t="s">
        <v>62</v>
      </c>
      <c r="B10" s="15" t="s">
        <v>64</v>
      </c>
      <c r="C10" s="4"/>
      <c r="D10" s="4"/>
      <c r="E10" s="4"/>
      <c r="F10" s="4"/>
      <c r="G10" s="4"/>
      <c r="H10" s="4"/>
      <c r="I10" s="4"/>
      <c r="J10" s="4"/>
      <c r="K10" s="4"/>
      <c r="L10" s="4"/>
      <c r="M10" s="4"/>
      <c r="N10" s="4"/>
      <c r="O10" s="4"/>
      <c r="P10" s="4"/>
      <c r="Q10" s="4"/>
      <c r="R10" s="4"/>
      <c r="S10" s="4"/>
      <c r="T10" s="4"/>
      <c r="U10" s="4"/>
      <c r="V10" s="4"/>
      <c r="W10" s="4"/>
      <c r="X10" s="4"/>
      <c r="Y10" s="4"/>
      <c r="Z10" s="4"/>
    </row>
    <row r="11">
      <c r="A11" s="32" t="s">
        <v>147</v>
      </c>
      <c r="B11" s="33">
        <f>SUMPRODUCT((C6:C7="Not at all")*0+(C6:C7="Several days")*1+(C6:C7="More than half the days")*2+(C6:C7="Nearly every day")*3)</f>
        <v>0</v>
      </c>
      <c r="C11" s="4"/>
      <c r="D11" s="4"/>
      <c r="E11" s="4"/>
      <c r="F11" s="4"/>
      <c r="G11" s="4"/>
      <c r="H11" s="4"/>
      <c r="I11" s="4"/>
      <c r="J11" s="4"/>
      <c r="K11" s="4"/>
      <c r="L11" s="4"/>
      <c r="M11" s="4"/>
      <c r="N11" s="4"/>
      <c r="O11" s="4"/>
      <c r="P11" s="4"/>
      <c r="Q11" s="4"/>
      <c r="R11" s="4"/>
      <c r="S11" s="4"/>
      <c r="T11" s="4"/>
      <c r="U11" s="4"/>
      <c r="V11" s="4"/>
      <c r="W11" s="4"/>
      <c r="X11" s="4"/>
      <c r="Y11" s="4"/>
      <c r="Z11" s="4"/>
    </row>
    <row r="12">
      <c r="A12" s="15" t="s">
        <v>159</v>
      </c>
      <c r="B12" s="34" t="str">
        <f>IF(B11&gt;=3,"POSITIVE SCREEN — consider full GAD-7 for further evaluation","Negative screen")</f>
        <v>Negative screen</v>
      </c>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11" t="s">
        <v>168</v>
      </c>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A1:D1"/>
    <mergeCell ref="A2:D2"/>
    <mergeCell ref="A4:D4"/>
    <mergeCell ref="A9:D9"/>
    <mergeCell ref="A14:D14"/>
  </mergeCells>
  <dataValidations>
    <dataValidation type="list" allowBlank="1" showInputMessage="1" showErrorMessage="1" prompt="Invalid entry - Choose one of: Not at all,Several days,More than half the days,Nearly every day" sqref="C6:C7">
      <formula1>"Not at all,Several days,More than half the days,Nearly every day"</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60.0"/>
    <col customWidth="1" min="3" max="3" width="9.0"/>
    <col customWidth="1" min="4" max="4" width="40.0"/>
    <col customWidth="1" min="5" max="26" width="8.71"/>
  </cols>
  <sheetData>
    <row r="1">
      <c r="A1" s="3" t="s">
        <v>161</v>
      </c>
    </row>
    <row r="2">
      <c r="A2" s="18" t="s">
        <v>162</v>
      </c>
    </row>
    <row r="4">
      <c r="A4" s="7" t="s">
        <v>7</v>
      </c>
      <c r="B4" s="7" t="s">
        <v>47</v>
      </c>
      <c r="C4" s="7" t="s">
        <v>164</v>
      </c>
      <c r="D4" s="7" t="s">
        <v>165</v>
      </c>
    </row>
    <row r="5">
      <c r="A5" s="9">
        <v>1.0</v>
      </c>
      <c r="B5" s="10" t="s">
        <v>81</v>
      </c>
      <c r="C5" s="12"/>
      <c r="D5" s="35" t="s">
        <v>167</v>
      </c>
    </row>
    <row r="6">
      <c r="A6" s="9">
        <v>2.0</v>
      </c>
      <c r="B6" s="10" t="s">
        <v>96</v>
      </c>
      <c r="C6" s="12"/>
      <c r="D6" s="35" t="s">
        <v>167</v>
      </c>
    </row>
    <row r="7">
      <c r="A7" s="9">
        <v>3.0</v>
      </c>
      <c r="B7" s="10" t="s">
        <v>169</v>
      </c>
      <c r="C7" s="12"/>
      <c r="D7" s="35" t="s">
        <v>167</v>
      </c>
    </row>
    <row r="8">
      <c r="A8" s="9">
        <v>4.0</v>
      </c>
      <c r="B8" s="10" t="s">
        <v>171</v>
      </c>
      <c r="C8" s="12"/>
      <c r="D8" s="35" t="s">
        <v>167</v>
      </c>
    </row>
    <row r="9">
      <c r="A9" s="9">
        <v>5.0</v>
      </c>
      <c r="B9" s="10" t="s">
        <v>172</v>
      </c>
      <c r="C9" s="12"/>
      <c r="D9" s="35" t="s">
        <v>167</v>
      </c>
    </row>
    <row r="10">
      <c r="A10" s="9">
        <v>6.0</v>
      </c>
      <c r="B10" s="10" t="s">
        <v>173</v>
      </c>
      <c r="C10" s="12"/>
      <c r="D10" s="35" t="s">
        <v>167</v>
      </c>
    </row>
    <row r="11">
      <c r="A11" s="9">
        <v>7.0</v>
      </c>
      <c r="B11" s="10" t="s">
        <v>174</v>
      </c>
      <c r="C11" s="12"/>
      <c r="D11" s="35" t="s">
        <v>167</v>
      </c>
    </row>
    <row r="13">
      <c r="A13" s="6" t="s">
        <v>176</v>
      </c>
    </row>
    <row r="14" ht="23.25" customHeight="1">
      <c r="A14" s="25" t="s">
        <v>177</v>
      </c>
      <c r="D14" s="36"/>
    </row>
    <row r="16">
      <c r="A16" s="6" t="s">
        <v>122</v>
      </c>
    </row>
    <row r="17">
      <c r="A17" s="19" t="s">
        <v>62</v>
      </c>
      <c r="B17" s="19" t="s">
        <v>64</v>
      </c>
    </row>
    <row r="18">
      <c r="A18" s="21" t="s">
        <v>179</v>
      </c>
      <c r="B18" s="37">
        <f>SUM(C5:C11)</f>
        <v>0</v>
      </c>
    </row>
    <row r="19">
      <c r="A19" s="21" t="s">
        <v>180</v>
      </c>
      <c r="B19" s="37" t="str">
        <f>IFS(B18&lt;=4,"Minimal",B18&lt;=9,"Mild",B18&lt;=14,"Moderate",TRUE(),"Severe")</f>
        <v>Minimal</v>
      </c>
    </row>
    <row r="21" ht="15.75" customHeight="1">
      <c r="A21" s="18" t="s">
        <v>181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D1"/>
    <mergeCell ref="A2:D2"/>
    <mergeCell ref="A13:D13"/>
    <mergeCell ref="A14:C14"/>
    <mergeCell ref="A16:D16"/>
    <mergeCell ref="A21:D21"/>
  </mergeCells>
  <dataValidations>
    <dataValidation type="list" allowBlank="1" showInputMessage="1" showErrorMessage="1" prompt="Invalid entry - Choose one of: 0,1,2,3" sqref="C5:C11">
      <formula1>"0,1,2,3"</formula1>
    </dataValidation>
    <dataValidation type="list" allowBlank="1" showInputMessage="1" showErrorMessage="1" prompt="Invalid entry - Choose one of: Not difficult at all,Somewhat difficult,Very difficult,Extremely difficult" sqref="D14">
      <formula1>"Not difficult at all,Somewhat difficult,Very difficult,Extremely difficult"</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6.0"/>
    <col customWidth="1" min="3" max="3" width="24.0"/>
    <col customWidth="1" min="4" max="4" width="60.0"/>
    <col customWidth="1" min="5" max="5" width="11.0"/>
    <col customWidth="1" min="6" max="6" width="14.0"/>
    <col customWidth="1" min="7" max="26" width="8.71"/>
  </cols>
  <sheetData>
    <row r="1">
      <c r="A1" s="3" t="s">
        <v>183</v>
      </c>
    </row>
    <row r="2" ht="24.0" customHeight="1">
      <c r="A2" s="5" t="s">
        <v>184</v>
      </c>
    </row>
    <row r="4">
      <c r="A4" s="7" t="s">
        <v>7</v>
      </c>
      <c r="B4" s="7" t="s">
        <v>185</v>
      </c>
      <c r="C4" s="7" t="s">
        <v>186</v>
      </c>
      <c r="D4" s="7" t="s">
        <v>47</v>
      </c>
      <c r="E4" s="7" t="s">
        <v>187</v>
      </c>
      <c r="F4" s="7" t="s">
        <v>188</v>
      </c>
    </row>
    <row r="5">
      <c r="A5" s="9">
        <v>1.0</v>
      </c>
      <c r="B5" s="9" t="s">
        <v>189</v>
      </c>
      <c r="C5" s="38" t="s">
        <v>190</v>
      </c>
      <c r="D5" s="10" t="s">
        <v>191</v>
      </c>
      <c r="E5" s="12"/>
      <c r="F5" s="35" t="s">
        <v>193</v>
      </c>
    </row>
    <row r="6">
      <c r="A6" s="9">
        <v>2.0</v>
      </c>
      <c r="B6" s="9" t="s">
        <v>189</v>
      </c>
      <c r="C6" s="38" t="s">
        <v>190</v>
      </c>
      <c r="D6" s="10" t="s">
        <v>194</v>
      </c>
      <c r="E6" s="12"/>
      <c r="F6" s="35" t="s">
        <v>193</v>
      </c>
    </row>
    <row r="7">
      <c r="A7" s="9">
        <v>3.0</v>
      </c>
      <c r="B7" s="9" t="s">
        <v>189</v>
      </c>
      <c r="C7" s="38" t="s">
        <v>190</v>
      </c>
      <c r="D7" s="10" t="s">
        <v>195</v>
      </c>
      <c r="E7" s="12"/>
      <c r="F7" s="35" t="s">
        <v>193</v>
      </c>
    </row>
    <row r="8">
      <c r="A8" s="9">
        <v>4.0</v>
      </c>
      <c r="B8" s="9" t="s">
        <v>189</v>
      </c>
      <c r="C8" s="38" t="s">
        <v>190</v>
      </c>
      <c r="D8" s="10" t="s">
        <v>196</v>
      </c>
      <c r="E8" s="12"/>
      <c r="F8" s="35" t="s">
        <v>198</v>
      </c>
    </row>
    <row r="9">
      <c r="A9" s="9">
        <v>5.0</v>
      </c>
      <c r="B9" s="9" t="s">
        <v>189</v>
      </c>
      <c r="C9" s="38" t="s">
        <v>199</v>
      </c>
      <c r="D9" s="10" t="s">
        <v>200</v>
      </c>
      <c r="E9" s="12"/>
      <c r="F9" s="35" t="s">
        <v>198</v>
      </c>
    </row>
    <row r="10">
      <c r="A10" s="9">
        <v>6.0</v>
      </c>
      <c r="B10" s="9" t="s">
        <v>189</v>
      </c>
      <c r="C10" s="38" t="s">
        <v>199</v>
      </c>
      <c r="D10" s="10" t="s">
        <v>201</v>
      </c>
      <c r="E10" s="12"/>
      <c r="F10" s="35" t="s">
        <v>198</v>
      </c>
    </row>
    <row r="11">
      <c r="A11" s="9">
        <v>7.0</v>
      </c>
      <c r="B11" s="9" t="s">
        <v>202</v>
      </c>
      <c r="C11" s="38" t="s">
        <v>190</v>
      </c>
      <c r="D11" s="10" t="s">
        <v>204</v>
      </c>
      <c r="E11" s="12"/>
      <c r="F11" s="35" t="s">
        <v>198</v>
      </c>
    </row>
    <row r="12">
      <c r="A12" s="9">
        <v>8.0</v>
      </c>
      <c r="B12" s="9" t="s">
        <v>202</v>
      </c>
      <c r="C12" s="38" t="s">
        <v>190</v>
      </c>
      <c r="D12" s="10" t="s">
        <v>207</v>
      </c>
      <c r="E12" s="12"/>
      <c r="F12" s="35" t="s">
        <v>198</v>
      </c>
    </row>
    <row r="13">
      <c r="A13" s="9">
        <v>9.0</v>
      </c>
      <c r="B13" s="9" t="s">
        <v>202</v>
      </c>
      <c r="C13" s="38" t="s">
        <v>190</v>
      </c>
      <c r="D13" s="10" t="s">
        <v>208</v>
      </c>
      <c r="E13" s="12"/>
      <c r="F13" s="35" t="s">
        <v>193</v>
      </c>
    </row>
    <row r="14">
      <c r="A14" s="9">
        <v>10.0</v>
      </c>
      <c r="B14" s="9" t="s">
        <v>202</v>
      </c>
      <c r="C14" s="38" t="s">
        <v>190</v>
      </c>
      <c r="D14" s="10" t="s">
        <v>209</v>
      </c>
      <c r="E14" s="12"/>
      <c r="F14" s="35" t="s">
        <v>198</v>
      </c>
    </row>
    <row r="15">
      <c r="A15" s="9">
        <v>11.0</v>
      </c>
      <c r="B15" s="9" t="s">
        <v>202</v>
      </c>
      <c r="C15" s="38" t="s">
        <v>190</v>
      </c>
      <c r="D15" s="10" t="s">
        <v>211</v>
      </c>
      <c r="E15" s="12"/>
      <c r="F15" s="35" t="s">
        <v>198</v>
      </c>
    </row>
    <row r="16">
      <c r="A16" s="9">
        <v>12.0</v>
      </c>
      <c r="B16" s="9" t="s">
        <v>202</v>
      </c>
      <c r="C16" s="38" t="s">
        <v>199</v>
      </c>
      <c r="D16" s="10" t="s">
        <v>212</v>
      </c>
      <c r="E16" s="12"/>
      <c r="F16" s="35" t="s">
        <v>193</v>
      </c>
    </row>
    <row r="17">
      <c r="A17" s="9">
        <v>13.0</v>
      </c>
      <c r="B17" s="9" t="s">
        <v>202</v>
      </c>
      <c r="C17" s="38" t="s">
        <v>199</v>
      </c>
      <c r="D17" s="10" t="s">
        <v>215</v>
      </c>
      <c r="E17" s="12"/>
      <c r="F17" s="35" t="s">
        <v>198</v>
      </c>
    </row>
    <row r="18">
      <c r="A18" s="9">
        <v>14.0</v>
      </c>
      <c r="B18" s="9" t="s">
        <v>202</v>
      </c>
      <c r="C18" s="38" t="s">
        <v>199</v>
      </c>
      <c r="D18" s="10" t="s">
        <v>216</v>
      </c>
      <c r="E18" s="12"/>
      <c r="F18" s="35" t="s">
        <v>198</v>
      </c>
    </row>
    <row r="19">
      <c r="A19" s="9">
        <v>15.0</v>
      </c>
      <c r="B19" s="9" t="s">
        <v>202</v>
      </c>
      <c r="C19" s="38" t="s">
        <v>199</v>
      </c>
      <c r="D19" s="10" t="s">
        <v>219</v>
      </c>
      <c r="E19" s="12"/>
      <c r="F19" s="35" t="s">
        <v>198</v>
      </c>
    </row>
    <row r="20">
      <c r="A20" s="9">
        <v>16.0</v>
      </c>
      <c r="B20" s="9" t="s">
        <v>202</v>
      </c>
      <c r="C20" s="38" t="s">
        <v>199</v>
      </c>
      <c r="D20" s="10" t="s">
        <v>220</v>
      </c>
      <c r="E20" s="12"/>
      <c r="F20" s="35" t="s">
        <v>193</v>
      </c>
    </row>
    <row r="21" ht="15.75" customHeight="1">
      <c r="A21" s="9">
        <v>17.0</v>
      </c>
      <c r="B21" s="9" t="s">
        <v>202</v>
      </c>
      <c r="C21" s="38" t="s">
        <v>199</v>
      </c>
      <c r="D21" s="10" t="s">
        <v>222</v>
      </c>
      <c r="E21" s="12"/>
      <c r="F21" s="35" t="s">
        <v>198</v>
      </c>
    </row>
    <row r="22" ht="15.75" customHeight="1">
      <c r="A22" s="9">
        <v>18.0</v>
      </c>
      <c r="B22" s="9" t="s">
        <v>202</v>
      </c>
      <c r="C22" s="38" t="s">
        <v>199</v>
      </c>
      <c r="D22" s="10" t="s">
        <v>223</v>
      </c>
      <c r="E22" s="12"/>
      <c r="F22" s="35" t="s">
        <v>193</v>
      </c>
    </row>
    <row r="23" ht="15.75" customHeight="1"/>
    <row r="24" ht="15.75" customHeight="1">
      <c r="A24" s="6" t="s">
        <v>224</v>
      </c>
    </row>
    <row r="25" ht="15.75" customHeight="1">
      <c r="A25" s="19" t="s">
        <v>62</v>
      </c>
      <c r="B25" s="19" t="s">
        <v>64</v>
      </c>
    </row>
    <row r="26" ht="15.75" customHeight="1">
      <c r="A26" s="21" t="s">
        <v>225</v>
      </c>
      <c r="B26" s="37">
        <f>SUMPRODUCT((A5:A22&lt;=6)*(((F5:F22="Sometimes+")*(E5:E22&gt;=3))+((F5:F22="Often+")*(E5:E22&gt;=4))))</f>
        <v>0</v>
      </c>
    </row>
    <row r="27" ht="15.75" customHeight="1">
      <c r="A27" s="19" t="s">
        <v>227</v>
      </c>
      <c r="B27" s="40" t="str">
        <f>IF(B26&gt;=4,"POSITIVE SCREEN","Negative screen")</f>
        <v>Negative screen</v>
      </c>
    </row>
    <row r="28" ht="15.75" customHeight="1"/>
    <row r="29" ht="25.5" customHeight="1">
      <c r="A29" s="5" t="s">
        <v>229</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A24:F24"/>
    <mergeCell ref="A29:F29"/>
  </mergeCells>
  <dataValidations>
    <dataValidation type="list" allowBlank="1" showInputMessage="1" showErrorMessage="1" prompt="Invalid entry - Choose one of: 1,2,3,4,5" sqref="E5:E22">
      <formula1>"1,2,3,4,5"</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203</v>
      </c>
      <c r="E1" s="4"/>
      <c r="F1" s="4"/>
      <c r="G1" s="4"/>
      <c r="H1" s="4"/>
      <c r="I1" s="4"/>
      <c r="J1" s="4"/>
      <c r="K1" s="4"/>
      <c r="L1" s="4"/>
      <c r="M1" s="4"/>
      <c r="N1" s="4"/>
      <c r="O1" s="4"/>
      <c r="P1" s="4"/>
      <c r="Q1" s="4"/>
      <c r="R1" s="4"/>
      <c r="S1" s="4"/>
      <c r="T1" s="4"/>
      <c r="U1" s="4"/>
      <c r="V1" s="4"/>
      <c r="W1" s="4"/>
      <c r="X1" s="4"/>
      <c r="Y1" s="4"/>
      <c r="Z1" s="4"/>
    </row>
    <row r="2">
      <c r="A2" s="8" t="s">
        <v>206</v>
      </c>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5" t="s">
        <v>42</v>
      </c>
      <c r="E4" s="4"/>
      <c r="F4" s="4"/>
      <c r="G4" s="4"/>
      <c r="H4" s="4"/>
      <c r="I4" s="4"/>
      <c r="J4" s="4"/>
      <c r="K4" s="4"/>
      <c r="L4" s="4"/>
      <c r="M4" s="4"/>
      <c r="N4" s="4"/>
      <c r="O4" s="4"/>
      <c r="P4" s="4"/>
      <c r="Q4" s="4"/>
      <c r="R4" s="4"/>
      <c r="S4" s="4"/>
      <c r="T4" s="4"/>
      <c r="U4" s="4"/>
      <c r="V4" s="4"/>
      <c r="W4" s="4"/>
      <c r="X4" s="4"/>
      <c r="Y4" s="4"/>
      <c r="Z4" s="4"/>
    </row>
    <row r="5">
      <c r="A5" s="14" t="s">
        <v>7</v>
      </c>
      <c r="B5" s="14" t="s">
        <v>47</v>
      </c>
      <c r="C5" s="14" t="s">
        <v>12</v>
      </c>
      <c r="D5" s="17"/>
      <c r="E5" s="4"/>
      <c r="F5" s="4"/>
      <c r="G5" s="4"/>
      <c r="H5" s="4"/>
      <c r="I5" s="4"/>
      <c r="J5" s="4"/>
      <c r="K5" s="4"/>
      <c r="L5" s="4"/>
      <c r="M5" s="4"/>
      <c r="N5" s="4"/>
      <c r="O5" s="4"/>
      <c r="P5" s="4"/>
      <c r="Q5" s="4"/>
      <c r="R5" s="4"/>
      <c r="S5" s="4"/>
      <c r="T5" s="4"/>
      <c r="U5" s="4"/>
      <c r="V5" s="4"/>
      <c r="W5" s="4"/>
      <c r="X5" s="4"/>
      <c r="Y5" s="4"/>
      <c r="Z5" s="4"/>
    </row>
    <row r="6">
      <c r="A6" s="20">
        <v>1.0</v>
      </c>
      <c r="B6" s="23" t="s">
        <v>214</v>
      </c>
      <c r="C6" s="24"/>
      <c r="D6" s="4"/>
      <c r="E6" s="4"/>
      <c r="F6" s="4"/>
      <c r="G6" s="4"/>
      <c r="H6" s="4"/>
      <c r="I6" s="4"/>
      <c r="J6" s="4"/>
      <c r="K6" s="4"/>
      <c r="L6" s="4"/>
      <c r="M6" s="4"/>
      <c r="N6" s="4"/>
      <c r="O6" s="4"/>
      <c r="P6" s="4"/>
      <c r="Q6" s="4"/>
      <c r="R6" s="4"/>
      <c r="S6" s="4"/>
      <c r="T6" s="4"/>
      <c r="U6" s="4"/>
      <c r="V6" s="4"/>
      <c r="W6" s="4"/>
      <c r="X6" s="4"/>
      <c r="Y6" s="4"/>
      <c r="Z6" s="4"/>
    </row>
    <row r="7">
      <c r="A7" s="20">
        <v>2.0</v>
      </c>
      <c r="B7" s="23" t="s">
        <v>218</v>
      </c>
      <c r="C7" s="2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31" t="s">
        <v>122</v>
      </c>
      <c r="E9" s="4"/>
      <c r="F9" s="4"/>
      <c r="G9" s="4"/>
      <c r="H9" s="4"/>
      <c r="I9" s="4"/>
      <c r="J9" s="4"/>
      <c r="K9" s="4"/>
      <c r="L9" s="4"/>
      <c r="M9" s="4"/>
      <c r="N9" s="4"/>
      <c r="O9" s="4"/>
      <c r="P9" s="4"/>
      <c r="Q9" s="4"/>
      <c r="R9" s="4"/>
      <c r="S9" s="4"/>
      <c r="T9" s="4"/>
      <c r="U9" s="4"/>
      <c r="V9" s="4"/>
      <c r="W9" s="4"/>
      <c r="X9" s="4"/>
      <c r="Y9" s="4"/>
      <c r="Z9" s="4"/>
    </row>
    <row r="10">
      <c r="A10" s="15" t="s">
        <v>62</v>
      </c>
      <c r="B10" s="15" t="s">
        <v>64</v>
      </c>
      <c r="C10" s="4"/>
      <c r="D10" s="4"/>
      <c r="E10" s="4"/>
      <c r="F10" s="4"/>
      <c r="G10" s="4"/>
      <c r="H10" s="4"/>
      <c r="I10" s="4"/>
      <c r="J10" s="4"/>
      <c r="K10" s="4"/>
      <c r="L10" s="4"/>
      <c r="M10" s="4"/>
      <c r="N10" s="4"/>
      <c r="O10" s="4"/>
      <c r="P10" s="4"/>
      <c r="Q10" s="4"/>
      <c r="R10" s="4"/>
      <c r="S10" s="4"/>
      <c r="T10" s="4"/>
      <c r="U10" s="4"/>
      <c r="V10" s="4"/>
      <c r="W10" s="4"/>
      <c r="X10" s="4"/>
      <c r="Y10" s="4"/>
      <c r="Z10" s="4"/>
    </row>
    <row r="11">
      <c r="A11" s="32" t="s">
        <v>147</v>
      </c>
      <c r="B11" s="33">
        <f>SUMPRODUCT((C6:C7="Not at all")*0+(C6:C7="Several days")*1+(C6:C7="More than half the days")*2+(C6:C7="Nearly every day")*3)</f>
        <v>0</v>
      </c>
      <c r="C11" s="4"/>
      <c r="D11" s="4"/>
      <c r="E11" s="4"/>
      <c r="F11" s="4"/>
      <c r="G11" s="4"/>
      <c r="H11" s="4"/>
      <c r="I11" s="4"/>
      <c r="J11" s="4"/>
      <c r="K11" s="4"/>
      <c r="L11" s="4"/>
      <c r="M11" s="4"/>
      <c r="N11" s="4"/>
      <c r="O11" s="4"/>
      <c r="P11" s="4"/>
      <c r="Q11" s="4"/>
      <c r="R11" s="4"/>
      <c r="S11" s="4"/>
      <c r="T11" s="4"/>
      <c r="U11" s="4"/>
      <c r="V11" s="4"/>
      <c r="W11" s="4"/>
      <c r="X11" s="4"/>
      <c r="Y11" s="4"/>
      <c r="Z11" s="4"/>
    </row>
    <row r="12">
      <c r="A12" s="15" t="s">
        <v>159</v>
      </c>
      <c r="B12" s="34" t="str">
        <f>IF(B11&gt;=3,"POSITIVE SCREEN — proceed to full PHQ-9 for further evaluation","Negative screen")</f>
        <v>Negative screen</v>
      </c>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11" t="s">
        <v>230</v>
      </c>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A1:D1"/>
    <mergeCell ref="A2:D2"/>
    <mergeCell ref="A4:D4"/>
    <mergeCell ref="A9:D9"/>
    <mergeCell ref="A14:D14"/>
  </mergeCells>
  <dataValidations>
    <dataValidation type="list" allowBlank="1" showInputMessage="1" showErrorMessage="1" prompt="Invalid entry - Choose one of: Not at all,Several days,More than half the days,Nearly every day" sqref="C6:C7">
      <formula1>"Not at all,Several days,More than half the days,Nearly every day"</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60.0"/>
    <col customWidth="1" min="3" max="3" width="9.0"/>
    <col customWidth="1" min="4" max="5" width="40.0"/>
    <col customWidth="1" min="6" max="26" width="8.71"/>
  </cols>
  <sheetData>
    <row r="1">
      <c r="A1" s="3" t="s">
        <v>231</v>
      </c>
    </row>
    <row r="2" ht="19.5" customHeight="1">
      <c r="A2" s="5" t="s">
        <v>232</v>
      </c>
    </row>
    <row r="4">
      <c r="A4" s="7" t="s">
        <v>7</v>
      </c>
      <c r="B4" s="7" t="s">
        <v>47</v>
      </c>
      <c r="C4" s="7" t="s">
        <v>164</v>
      </c>
      <c r="D4" s="7" t="s">
        <v>165</v>
      </c>
      <c r="E4" s="7" t="s">
        <v>233</v>
      </c>
    </row>
    <row r="5">
      <c r="A5" s="9">
        <v>1.0</v>
      </c>
      <c r="B5" s="10" t="s">
        <v>214</v>
      </c>
      <c r="C5" s="12"/>
      <c r="D5" s="35" t="s">
        <v>167</v>
      </c>
      <c r="E5" s="41"/>
    </row>
    <row r="6">
      <c r="A6" s="9">
        <v>2.0</v>
      </c>
      <c r="B6" s="10" t="s">
        <v>218</v>
      </c>
      <c r="C6" s="12"/>
      <c r="D6" s="35" t="s">
        <v>167</v>
      </c>
      <c r="E6" s="41"/>
    </row>
    <row r="7">
      <c r="A7" s="9">
        <v>3.0</v>
      </c>
      <c r="B7" s="10" t="s">
        <v>234</v>
      </c>
      <c r="C7" s="12"/>
      <c r="D7" s="35" t="s">
        <v>167</v>
      </c>
      <c r="E7" s="41"/>
    </row>
    <row r="8">
      <c r="A8" s="9">
        <v>4.0</v>
      </c>
      <c r="B8" s="10" t="s">
        <v>235</v>
      </c>
      <c r="C8" s="12"/>
      <c r="D8" s="35" t="s">
        <v>167</v>
      </c>
      <c r="E8" s="41"/>
    </row>
    <row r="9">
      <c r="A9" s="9">
        <v>5.0</v>
      </c>
      <c r="B9" s="10" t="s">
        <v>236</v>
      </c>
      <c r="C9" s="12"/>
      <c r="D9" s="35" t="s">
        <v>167</v>
      </c>
      <c r="E9" s="41"/>
    </row>
    <row r="10">
      <c r="A10" s="9">
        <v>6.0</v>
      </c>
      <c r="B10" s="10" t="s">
        <v>237</v>
      </c>
      <c r="C10" s="12"/>
      <c r="D10" s="35" t="s">
        <v>167</v>
      </c>
      <c r="E10" s="41"/>
    </row>
    <row r="11">
      <c r="A11" s="9">
        <v>7.0</v>
      </c>
      <c r="B11" s="10" t="s">
        <v>238</v>
      </c>
      <c r="C11" s="12"/>
      <c r="D11" s="35" t="s">
        <v>167</v>
      </c>
      <c r="E11" s="41"/>
    </row>
    <row r="12">
      <c r="A12" s="9">
        <v>8.0</v>
      </c>
      <c r="B12" s="10" t="s">
        <v>239</v>
      </c>
      <c r="C12" s="12"/>
      <c r="D12" s="35" t="s">
        <v>167</v>
      </c>
      <c r="E12" s="41"/>
    </row>
    <row r="13">
      <c r="A13" s="9">
        <v>9.0</v>
      </c>
      <c r="B13" s="10" t="s">
        <v>240</v>
      </c>
      <c r="C13" s="12"/>
      <c r="D13" s="35" t="s">
        <v>167</v>
      </c>
      <c r="E13" s="42" t="s">
        <v>241</v>
      </c>
    </row>
    <row r="14">
      <c r="A14" s="9" t="s">
        <v>242</v>
      </c>
      <c r="B14" s="10" t="s">
        <v>177</v>
      </c>
      <c r="C14" s="12"/>
      <c r="D14" s="35" t="s">
        <v>243</v>
      </c>
      <c r="E14" s="41"/>
    </row>
    <row r="16">
      <c r="A16" s="6" t="s">
        <v>122</v>
      </c>
    </row>
    <row r="17">
      <c r="A17" s="19" t="s">
        <v>62</v>
      </c>
      <c r="B17" s="19" t="s">
        <v>64</v>
      </c>
    </row>
    <row r="18">
      <c r="A18" s="21" t="s">
        <v>244</v>
      </c>
      <c r="B18" s="37">
        <f>SUM(C5:C13)</f>
        <v>0</v>
      </c>
    </row>
    <row r="19">
      <c r="A19" s="21" t="s">
        <v>180</v>
      </c>
      <c r="B19" s="37" t="str">
        <f>IFS(B18&lt;=4,"None-minimal",B18&lt;=9,"Mild",B18&lt;=14,"Moderate",B18&lt;=19,"Moderately severe",TRUE(),"Severe")</f>
        <v>None-minimal</v>
      </c>
    </row>
    <row r="20">
      <c r="A20" s="19" t="s">
        <v>245</v>
      </c>
      <c r="B20" s="40" t="str">
        <f>IF(C13&gt;0,"CRISIS ROUTING REQUIRED","-")</f>
        <v>-</v>
      </c>
    </row>
    <row r="21" ht="15.75" customHeight="1"/>
    <row r="22" ht="15.75" customHeight="1">
      <c r="A22" s="18" t="s">
        <v>246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16:E16"/>
    <mergeCell ref="A22:E22"/>
  </mergeCells>
  <dataValidations>
    <dataValidation type="list" allowBlank="1" showInputMessage="1" showErrorMessage="1" prompt="Invalid entry - Choose one of: 0,1,2,3" sqref="C5:C14">
      <formula1>"0,1,2,3"</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62.0"/>
    <col customWidth="1" min="3" max="3" width="12.0"/>
    <col customWidth="1" min="4" max="4" width="14.0"/>
    <col customWidth="1" min="5" max="5" width="38.0"/>
    <col customWidth="1" min="6" max="26" width="8.71"/>
  </cols>
  <sheetData>
    <row r="1">
      <c r="A1" s="3" t="s">
        <v>247</v>
      </c>
    </row>
    <row r="2" ht="25.5" customHeight="1">
      <c r="A2" s="5" t="s">
        <v>248</v>
      </c>
    </row>
    <row r="4">
      <c r="A4" s="7" t="s">
        <v>7</v>
      </c>
      <c r="B4" s="7" t="s">
        <v>47</v>
      </c>
      <c r="C4" s="7" t="s">
        <v>49</v>
      </c>
      <c r="D4" s="7" t="s">
        <v>249</v>
      </c>
      <c r="E4" s="7" t="s">
        <v>165</v>
      </c>
    </row>
    <row r="5">
      <c r="A5" s="9">
        <v>1.0</v>
      </c>
      <c r="B5" s="10" t="s">
        <v>250</v>
      </c>
      <c r="C5" s="12"/>
      <c r="D5" s="9" t="s">
        <v>251</v>
      </c>
      <c r="E5" s="35" t="s">
        <v>252</v>
      </c>
    </row>
    <row r="6">
      <c r="A6" s="9">
        <v>2.0</v>
      </c>
      <c r="B6" s="10" t="s">
        <v>253</v>
      </c>
      <c r="C6" s="12"/>
      <c r="D6" s="9" t="s">
        <v>251</v>
      </c>
      <c r="E6" s="35" t="s">
        <v>252</v>
      </c>
    </row>
    <row r="7">
      <c r="A7" s="9">
        <v>3.0</v>
      </c>
      <c r="B7" s="10" t="s">
        <v>254</v>
      </c>
      <c r="C7" s="12"/>
      <c r="D7" s="9" t="s">
        <v>251</v>
      </c>
      <c r="E7" s="35" t="s">
        <v>252</v>
      </c>
    </row>
    <row r="8">
      <c r="A8" s="9">
        <v>4.0</v>
      </c>
      <c r="B8" s="10" t="s">
        <v>255</v>
      </c>
      <c r="C8" s="12"/>
      <c r="D8" s="38" t="s">
        <v>256</v>
      </c>
      <c r="E8" s="35" t="s">
        <v>252</v>
      </c>
    </row>
    <row r="9">
      <c r="A9" s="9">
        <v>5.0</v>
      </c>
      <c r="B9" s="10" t="s">
        <v>257</v>
      </c>
      <c r="C9" s="12"/>
      <c r="D9" s="38" t="s">
        <v>256</v>
      </c>
      <c r="E9" s="35" t="s">
        <v>252</v>
      </c>
    </row>
    <row r="10">
      <c r="A10" s="9">
        <v>6.0</v>
      </c>
      <c r="B10" s="10" t="s">
        <v>258</v>
      </c>
      <c r="C10" s="12"/>
      <c r="D10" s="9" t="s">
        <v>251</v>
      </c>
      <c r="E10" s="35" t="s">
        <v>252</v>
      </c>
    </row>
    <row r="11">
      <c r="A11" s="9">
        <v>7.0</v>
      </c>
      <c r="B11" s="10" t="s">
        <v>259</v>
      </c>
      <c r="C11" s="12"/>
      <c r="D11" s="38" t="s">
        <v>256</v>
      </c>
      <c r="E11" s="35" t="s">
        <v>252</v>
      </c>
    </row>
    <row r="12">
      <c r="A12" s="9">
        <v>8.0</v>
      </c>
      <c r="B12" s="10" t="s">
        <v>260</v>
      </c>
      <c r="C12" s="12"/>
      <c r="D12" s="38" t="s">
        <v>256</v>
      </c>
      <c r="E12" s="35" t="s">
        <v>252</v>
      </c>
    </row>
    <row r="13">
      <c r="A13" s="9">
        <v>9.0</v>
      </c>
      <c r="B13" s="10" t="s">
        <v>261</v>
      </c>
      <c r="C13" s="12"/>
      <c r="D13" s="9" t="s">
        <v>251</v>
      </c>
      <c r="E13" s="35" t="s">
        <v>252</v>
      </c>
    </row>
    <row r="14">
      <c r="A14" s="9">
        <v>10.0</v>
      </c>
      <c r="B14" s="10" t="s">
        <v>262</v>
      </c>
      <c r="C14" s="12"/>
      <c r="D14" s="9" t="s">
        <v>251</v>
      </c>
      <c r="E14" s="35" t="s">
        <v>252</v>
      </c>
    </row>
    <row r="16">
      <c r="A16" s="6" t="s">
        <v>122</v>
      </c>
    </row>
    <row r="17">
      <c r="A17" s="19" t="s">
        <v>62</v>
      </c>
      <c r="B17" s="19" t="s">
        <v>64</v>
      </c>
    </row>
    <row r="18">
      <c r="A18" s="21" t="s">
        <v>263</v>
      </c>
      <c r="B18" s="37">
        <f>SUMPRODUCT(IF(D5:D14="Yes",4-C5:C14,C5:C14))</f>
        <v>16</v>
      </c>
    </row>
    <row r="19">
      <c r="A19" s="21" t="s">
        <v>264</v>
      </c>
      <c r="B19" s="37" t="str">
        <f>IFS(B18&lt;=13,"Low stress",B18&lt;=26,"Moderate stress",TRUE(),"High perceived stress")</f>
        <v>Moderate stress</v>
      </c>
    </row>
    <row r="21" ht="15.75" customHeight="1">
      <c r="A21" s="18" t="s">
        <v>265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16:E16"/>
    <mergeCell ref="A21:E21"/>
  </mergeCells>
  <dataValidations>
    <dataValidation type="list" allowBlank="1" showInputMessage="1" showErrorMessage="1" prompt="Invalid entry - Choose one of: 0,1,2,3,4" sqref="C5:C14">
      <formula1>"0,1,2,3,4"</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55.0"/>
    <col customWidth="1" min="3" max="3" width="12.0"/>
    <col customWidth="1" min="4" max="4" width="42.0"/>
    <col customWidth="1" min="5" max="26" width="8.71"/>
  </cols>
  <sheetData>
    <row r="1">
      <c r="A1" s="3" t="s">
        <v>266</v>
      </c>
    </row>
    <row r="2" ht="30.0" customHeight="1">
      <c r="A2" s="5" t="s">
        <v>267</v>
      </c>
    </row>
    <row r="4">
      <c r="A4" s="7" t="s">
        <v>7</v>
      </c>
      <c r="B4" s="7" t="s">
        <v>47</v>
      </c>
      <c r="C4" s="7" t="s">
        <v>268</v>
      </c>
      <c r="D4" s="7" t="s">
        <v>165</v>
      </c>
    </row>
    <row r="5">
      <c r="A5" s="9">
        <v>1.0</v>
      </c>
      <c r="B5" s="10" t="s">
        <v>269</v>
      </c>
      <c r="C5" s="12"/>
      <c r="D5" s="35" t="s">
        <v>270</v>
      </c>
    </row>
    <row r="6">
      <c r="A6" s="9">
        <v>2.0</v>
      </c>
      <c r="B6" s="10" t="s">
        <v>271</v>
      </c>
      <c r="C6" s="12"/>
      <c r="D6" s="35" t="s">
        <v>270</v>
      </c>
    </row>
    <row r="7">
      <c r="A7" s="9">
        <v>3.0</v>
      </c>
      <c r="B7" s="10" t="s">
        <v>272</v>
      </c>
      <c r="C7" s="12"/>
      <c r="D7" s="35" t="s">
        <v>270</v>
      </c>
    </row>
    <row r="8">
      <c r="A8" s="9">
        <v>4.0</v>
      </c>
      <c r="B8" s="10" t="s">
        <v>273</v>
      </c>
      <c r="C8" s="12"/>
      <c r="D8" s="35" t="s">
        <v>270</v>
      </c>
    </row>
    <row r="9">
      <c r="A9" s="9">
        <v>5.0</v>
      </c>
      <c r="B9" s="10" t="s">
        <v>274</v>
      </c>
      <c r="C9" s="12"/>
      <c r="D9" s="35" t="s">
        <v>270</v>
      </c>
    </row>
    <row r="11">
      <c r="A11" s="6" t="s">
        <v>122</v>
      </c>
    </row>
    <row r="12">
      <c r="A12" s="19" t="s">
        <v>62</v>
      </c>
      <c r="B12" s="19" t="s">
        <v>64</v>
      </c>
    </row>
    <row r="13">
      <c r="A13" s="21" t="s">
        <v>275</v>
      </c>
      <c r="B13" s="37">
        <f>SUM(C5:C9)</f>
        <v>0</v>
      </c>
    </row>
    <row r="14">
      <c r="A14" s="21" t="s">
        <v>276</v>
      </c>
      <c r="B14" s="37">
        <f>B13*4</f>
        <v>0</v>
      </c>
    </row>
    <row r="15">
      <c r="A15" s="19" t="s">
        <v>277</v>
      </c>
      <c r="B15" s="40" t="str">
        <f>IF(B14&lt;50,"Below cutoff — consider further assessment for possible mental health condition","Above cutoff")</f>
        <v>Below cutoff — consider further assessment for possible mental health condition</v>
      </c>
    </row>
    <row r="17" ht="30.0" customHeight="1">
      <c r="A17" s="5" t="s">
        <v>278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2:D2"/>
    <mergeCell ref="A11:D11"/>
    <mergeCell ref="A17:D17"/>
  </mergeCells>
  <dataValidations>
    <dataValidation type="list" allowBlank="1" showInputMessage="1" showErrorMessage="1" prompt="Invalid entry - Choose one of: 0,1,2,3,4,5" sqref="C5:C9">
      <formula1>"0,1,2,3,4,5"</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65.0"/>
    <col customWidth="1" min="3" max="4" width="12.0"/>
    <col customWidth="1" min="5" max="26" width="8.71"/>
  </cols>
  <sheetData>
    <row r="1">
      <c r="A1" s="3" t="s">
        <v>279</v>
      </c>
    </row>
    <row r="2">
      <c r="A2" s="18" t="s">
        <v>280</v>
      </c>
    </row>
    <row r="4">
      <c r="A4" s="7" t="s">
        <v>7</v>
      </c>
      <c r="B4" s="7" t="s">
        <v>10</v>
      </c>
      <c r="C4" s="7" t="s">
        <v>12</v>
      </c>
      <c r="D4" s="7" t="s">
        <v>233</v>
      </c>
    </row>
    <row r="5">
      <c r="A5" s="9">
        <v>1.0</v>
      </c>
      <c r="B5" s="10" t="s">
        <v>281</v>
      </c>
      <c r="C5" s="12"/>
      <c r="D5" s="41"/>
    </row>
    <row r="6">
      <c r="A6" s="9">
        <v>2.0</v>
      </c>
      <c r="B6" s="10" t="s">
        <v>282</v>
      </c>
      <c r="C6" s="12"/>
      <c r="D6" s="41"/>
    </row>
    <row r="7">
      <c r="A7" s="9">
        <v>3.0</v>
      </c>
      <c r="B7" s="10" t="s">
        <v>283</v>
      </c>
      <c r="C7" s="12"/>
      <c r="D7" s="41"/>
    </row>
    <row r="8">
      <c r="A8" s="9">
        <v>4.0</v>
      </c>
      <c r="B8" s="10" t="s">
        <v>284</v>
      </c>
      <c r="C8" s="12"/>
      <c r="D8" s="41"/>
    </row>
    <row r="9">
      <c r="A9" s="43">
        <v>5.0</v>
      </c>
      <c r="B9" s="44" t="s">
        <v>285</v>
      </c>
      <c r="C9" s="16"/>
      <c r="D9" s="41"/>
    </row>
    <row r="11">
      <c r="A11" s="6" t="s">
        <v>286</v>
      </c>
    </row>
    <row r="12">
      <c r="A12" s="19" t="s">
        <v>62</v>
      </c>
      <c r="B12" s="19" t="s">
        <v>64</v>
      </c>
    </row>
    <row r="13">
      <c r="B13" s="26" t="str">
        <f>IFS(AND(C5&lt;&gt;"Yes",C6&lt;&gt;"Yes",C7&lt;&gt;"Yes",C8&lt;&gt;"Yes"),"Negative screen — no intervention necessary at this time (clinical judgment can override)",C9="Yes","ACUTE POSITIVE SCREEN — imminent/acute risk. Requires urgent safety evaluation now. Keep patient in sight, remove dangerous objects if possible, alert responsible clinician.",TRUE(),"NON-ACUTE POSITIVE SCREEN — needs a brief suicide safety assessment to determine if full evaluation is needed. Alert responsible clinician.")</f>
        <v>Negative screen — no intervention necessary at this time (clinical judgment can override)</v>
      </c>
    </row>
    <row r="14">
      <c r="A14" s="19" t="s">
        <v>90</v>
      </c>
      <c r="B14" s="26" t="str">
        <f>IF(C9="Yes","ROUTE TO CRISIS ESCALATION WORKFLOW NOW",IF(OR(C5="Yes",C6="Yes",C7="Yes",C8="Yes"),"Brief safety assessment required","-"))</f>
        <v>-</v>
      </c>
    </row>
    <row r="16" ht="25.5" customHeight="1">
      <c r="A16" s="5" t="s">
        <v>287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2:D2"/>
    <mergeCell ref="A11:D11"/>
    <mergeCell ref="A16:D16"/>
  </mergeCells>
  <dataValidations>
    <dataValidation type="list" allowBlank="1" showInputMessage="1" showErrorMessage="1" prompt="Invalid entry - Choose one of: Yes,No" sqref="C5:C9">
      <formula1>"Yes,No"</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10.0"/>
    <col customWidth="1" min="2" max="2" width="65.0"/>
    <col customWidth="1" min="3" max="4" width="12.0"/>
    <col customWidth="1" min="5" max="26" width="8.71"/>
  </cols>
  <sheetData>
    <row r="1">
      <c r="A1" s="3" t="s">
        <v>288</v>
      </c>
    </row>
    <row r="2">
      <c r="A2" s="18" t="s">
        <v>289</v>
      </c>
    </row>
    <row r="4">
      <c r="A4" s="19" t="s">
        <v>290</v>
      </c>
    </row>
    <row r="5" ht="54.75" customHeight="1">
      <c r="A5" s="45" t="s">
        <v>291</v>
      </c>
      <c r="B5" s="46"/>
      <c r="C5" s="47"/>
      <c r="D5" s="12"/>
    </row>
    <row r="7">
      <c r="A7" s="19" t="s">
        <v>292</v>
      </c>
    </row>
    <row r="8">
      <c r="A8" s="7" t="s">
        <v>7</v>
      </c>
      <c r="B8" s="7" t="s">
        <v>47</v>
      </c>
      <c r="C8" s="7" t="s">
        <v>12</v>
      </c>
      <c r="D8" s="7"/>
    </row>
    <row r="9">
      <c r="A9" s="9">
        <v>1.0</v>
      </c>
      <c r="B9" s="10" t="s">
        <v>293</v>
      </c>
      <c r="C9" s="12"/>
    </row>
    <row r="10">
      <c r="A10" s="9">
        <v>2.0</v>
      </c>
      <c r="B10" s="10" t="s">
        <v>294</v>
      </c>
      <c r="C10" s="12"/>
    </row>
    <row r="11">
      <c r="A11" s="9">
        <v>3.0</v>
      </c>
      <c r="B11" s="10" t="s">
        <v>295</v>
      </c>
      <c r="C11" s="12"/>
    </row>
    <row r="12">
      <c r="A12" s="9">
        <v>4.0</v>
      </c>
      <c r="B12" s="10" t="s">
        <v>296</v>
      </c>
      <c r="C12" s="12"/>
    </row>
    <row r="13">
      <c r="A13" s="9">
        <v>5.0</v>
      </c>
      <c r="B13" s="10" t="s">
        <v>297</v>
      </c>
      <c r="C13" s="12"/>
    </row>
    <row r="15">
      <c r="A15" s="6" t="s">
        <v>122</v>
      </c>
    </row>
    <row r="16">
      <c r="A16" s="19" t="s">
        <v>62</v>
      </c>
      <c r="B16" s="19" t="s">
        <v>64</v>
      </c>
    </row>
    <row r="17">
      <c r="A17" s="21" t="s">
        <v>298</v>
      </c>
      <c r="B17" s="37" t="str">
        <f>D5</f>
        <v/>
      </c>
    </row>
    <row r="18">
      <c r="A18" s="21" t="s">
        <v>299</v>
      </c>
      <c r="B18" s="37">
        <f>IF(D5="Yes",COUNTIF(C9:C13,"Yes"),0)</f>
        <v>0</v>
      </c>
    </row>
    <row r="19">
      <c r="A19" s="19" t="s">
        <v>300</v>
      </c>
      <c r="B19" s="40" t="str">
        <f>IF(D5&lt;&gt;"Yes","N/A — no trauma exposure reported",IF(B18&gt;=3,"POSITIVE SCREEN","Negative screen"))</f>
        <v>N/A — no trauma exposure reported</v>
      </c>
    </row>
    <row r="21" ht="15.75" customHeight="1">
      <c r="A21" s="18" t="s">
        <v>301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D1"/>
    <mergeCell ref="A2:D2"/>
    <mergeCell ref="A5:C5"/>
    <mergeCell ref="A15:D15"/>
    <mergeCell ref="A21:D21"/>
  </mergeCells>
  <dataValidations>
    <dataValidation type="list" allowBlank="1" showInputMessage="1" showErrorMessage="1" prompt="Invalid entry - Choose one of: Yes,No" sqref="D5 C9:C13">
      <formula1>"Yes,No"</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8.0"/>
  </cols>
  <sheetData>
    <row r="1">
      <c r="A1" s="2" t="s">
        <v>302</v>
      </c>
      <c r="E1" s="4"/>
      <c r="F1" s="4"/>
      <c r="G1" s="4"/>
      <c r="H1" s="4"/>
      <c r="I1" s="4"/>
      <c r="J1" s="4"/>
      <c r="K1" s="4"/>
      <c r="L1" s="4"/>
      <c r="M1" s="4"/>
      <c r="N1" s="4"/>
      <c r="O1" s="4"/>
      <c r="P1" s="4"/>
      <c r="Q1" s="4"/>
      <c r="R1" s="4"/>
      <c r="S1" s="4"/>
      <c r="T1" s="4"/>
      <c r="U1" s="4"/>
      <c r="V1" s="4"/>
      <c r="W1" s="4"/>
      <c r="X1" s="4"/>
      <c r="Y1" s="4"/>
      <c r="Z1" s="4"/>
    </row>
    <row r="2">
      <c r="A2" s="8" t="s">
        <v>303</v>
      </c>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5" t="s">
        <v>304</v>
      </c>
      <c r="E4" s="4"/>
      <c r="F4" s="4"/>
      <c r="G4" s="4"/>
      <c r="H4" s="4"/>
      <c r="I4" s="4"/>
      <c r="J4" s="4"/>
      <c r="K4" s="4"/>
      <c r="L4" s="4"/>
      <c r="M4" s="4"/>
      <c r="N4" s="4"/>
      <c r="O4" s="4"/>
      <c r="P4" s="4"/>
      <c r="Q4" s="4"/>
      <c r="R4" s="4"/>
      <c r="S4" s="4"/>
      <c r="T4" s="4"/>
      <c r="U4" s="4"/>
      <c r="V4" s="4"/>
      <c r="W4" s="4"/>
      <c r="X4" s="4"/>
      <c r="Y4" s="4"/>
      <c r="Z4" s="4"/>
    </row>
    <row r="5">
      <c r="A5" s="14" t="s">
        <v>7</v>
      </c>
      <c r="B5" s="14" t="s">
        <v>305</v>
      </c>
      <c r="C5" s="14" t="s">
        <v>12</v>
      </c>
      <c r="D5" s="14" t="s">
        <v>306</v>
      </c>
      <c r="E5" s="4"/>
      <c r="F5" s="4"/>
      <c r="G5" s="4"/>
      <c r="H5" s="4"/>
      <c r="I5" s="4"/>
      <c r="J5" s="4"/>
      <c r="K5" s="4"/>
      <c r="L5" s="4"/>
      <c r="M5" s="4"/>
      <c r="N5" s="4"/>
      <c r="O5" s="4"/>
      <c r="P5" s="4"/>
      <c r="Q5" s="4"/>
      <c r="R5" s="4"/>
      <c r="S5" s="4"/>
      <c r="T5" s="4"/>
      <c r="U5" s="4"/>
      <c r="V5" s="4"/>
      <c r="W5" s="4"/>
      <c r="X5" s="4"/>
      <c r="Y5" s="4"/>
      <c r="Z5" s="4"/>
    </row>
    <row r="6">
      <c r="A6" s="20">
        <v>1.0</v>
      </c>
      <c r="B6" s="23" t="s">
        <v>307</v>
      </c>
      <c r="C6" s="24"/>
      <c r="D6" s="48" t="str">
        <f>IFERROR(IFS(C6="Strongly Agree",3,C6="Agree",2,C6="Disagree",1,C6="Strongly Disagree",0),"")</f>
        <v/>
      </c>
      <c r="E6" s="4"/>
      <c r="F6" s="4"/>
      <c r="G6" s="4"/>
      <c r="H6" s="4"/>
      <c r="I6" s="4"/>
      <c r="J6" s="4"/>
      <c r="K6" s="4"/>
      <c r="L6" s="4"/>
      <c r="M6" s="4"/>
      <c r="N6" s="4"/>
      <c r="O6" s="4"/>
      <c r="P6" s="4"/>
      <c r="Q6" s="4"/>
      <c r="R6" s="4"/>
      <c r="S6" s="4"/>
      <c r="T6" s="4"/>
      <c r="U6" s="4"/>
      <c r="V6" s="4"/>
      <c r="W6" s="4"/>
      <c r="X6" s="4"/>
      <c r="Y6" s="4"/>
      <c r="Z6" s="4"/>
    </row>
    <row r="7">
      <c r="A7" s="20">
        <v>2.0</v>
      </c>
      <c r="B7" s="23" t="s">
        <v>308</v>
      </c>
      <c r="C7" s="24"/>
      <c r="D7" s="48" t="str">
        <f>IFERROR(IFS(C7="Strongly Agree",0,C7="Agree",1,C7="Disagree",2,C7="Strongly Disagree",3),"")</f>
        <v/>
      </c>
      <c r="E7" s="4"/>
      <c r="F7" s="4"/>
      <c r="G7" s="4"/>
      <c r="H7" s="4"/>
      <c r="I7" s="4"/>
      <c r="J7" s="4"/>
      <c r="K7" s="4"/>
      <c r="L7" s="4"/>
      <c r="M7" s="4"/>
      <c r="N7" s="4"/>
      <c r="O7" s="4"/>
      <c r="P7" s="4"/>
      <c r="Q7" s="4"/>
      <c r="R7" s="4"/>
      <c r="S7" s="4"/>
      <c r="T7" s="4"/>
      <c r="U7" s="4"/>
      <c r="V7" s="4"/>
      <c r="W7" s="4"/>
      <c r="X7" s="4"/>
      <c r="Y7" s="4"/>
      <c r="Z7" s="4"/>
    </row>
    <row r="8">
      <c r="A8" s="20">
        <v>3.0</v>
      </c>
      <c r="B8" s="23" t="s">
        <v>309</v>
      </c>
      <c r="C8" s="24"/>
      <c r="D8" s="48" t="str">
        <f t="shared" ref="D8:D9" si="1">IFERROR(IFS(C8="Strongly Agree",3,C8="Agree",2,C8="Disagree",1,C8="Strongly Disagree",0),"")</f>
        <v/>
      </c>
      <c r="E8" s="4"/>
      <c r="F8" s="4"/>
      <c r="G8" s="4"/>
      <c r="H8" s="4"/>
      <c r="I8" s="4"/>
      <c r="J8" s="4"/>
      <c r="K8" s="4"/>
      <c r="L8" s="4"/>
      <c r="M8" s="4"/>
      <c r="N8" s="4"/>
      <c r="O8" s="4"/>
      <c r="P8" s="4"/>
      <c r="Q8" s="4"/>
      <c r="R8" s="4"/>
      <c r="S8" s="4"/>
      <c r="T8" s="4"/>
      <c r="U8" s="4"/>
      <c r="V8" s="4"/>
      <c r="W8" s="4"/>
      <c r="X8" s="4"/>
      <c r="Y8" s="4"/>
      <c r="Z8" s="4"/>
    </row>
    <row r="9">
      <c r="A9" s="20">
        <v>4.0</v>
      </c>
      <c r="B9" s="23" t="s">
        <v>310</v>
      </c>
      <c r="C9" s="24"/>
      <c r="D9" s="48" t="str">
        <f t="shared" si="1"/>
        <v/>
      </c>
      <c r="E9" s="4"/>
      <c r="F9" s="4"/>
      <c r="G9" s="4"/>
      <c r="H9" s="4"/>
      <c r="I9" s="4"/>
      <c r="J9" s="4"/>
      <c r="K9" s="4"/>
      <c r="L9" s="4"/>
      <c r="M9" s="4"/>
      <c r="N9" s="4"/>
      <c r="O9" s="4"/>
      <c r="P9" s="4"/>
      <c r="Q9" s="4"/>
      <c r="R9" s="4"/>
      <c r="S9" s="4"/>
      <c r="T9" s="4"/>
      <c r="U9" s="4"/>
      <c r="V9" s="4"/>
      <c r="W9" s="4"/>
      <c r="X9" s="4"/>
      <c r="Y9" s="4"/>
      <c r="Z9" s="4"/>
    </row>
    <row r="10">
      <c r="A10" s="20">
        <v>5.0</v>
      </c>
      <c r="B10" s="23" t="s">
        <v>311</v>
      </c>
      <c r="C10" s="24"/>
      <c r="D10" s="48" t="str">
        <f t="shared" ref="D10:D11" si="2">IFERROR(IFS(C10="Strongly Agree",0,C10="Agree",1,C10="Disagree",2,C10="Strongly Disagree",3),"")</f>
        <v/>
      </c>
      <c r="E10" s="4"/>
      <c r="F10" s="4"/>
      <c r="G10" s="4"/>
      <c r="H10" s="4"/>
      <c r="I10" s="4"/>
      <c r="J10" s="4"/>
      <c r="K10" s="4"/>
      <c r="L10" s="4"/>
      <c r="M10" s="4"/>
      <c r="N10" s="4"/>
      <c r="O10" s="4"/>
      <c r="P10" s="4"/>
      <c r="Q10" s="4"/>
      <c r="R10" s="4"/>
      <c r="S10" s="4"/>
      <c r="T10" s="4"/>
      <c r="U10" s="4"/>
      <c r="V10" s="4"/>
      <c r="W10" s="4"/>
      <c r="X10" s="4"/>
      <c r="Y10" s="4"/>
      <c r="Z10" s="4"/>
    </row>
    <row r="11">
      <c r="A11" s="20">
        <v>6.0</v>
      </c>
      <c r="B11" s="23" t="s">
        <v>312</v>
      </c>
      <c r="C11" s="24"/>
      <c r="D11" s="48" t="str">
        <f t="shared" si="2"/>
        <v/>
      </c>
      <c r="E11" s="4"/>
      <c r="F11" s="4"/>
      <c r="G11" s="4"/>
      <c r="H11" s="4"/>
      <c r="I11" s="4"/>
      <c r="J11" s="4"/>
      <c r="K11" s="4"/>
      <c r="L11" s="4"/>
      <c r="M11" s="4"/>
      <c r="N11" s="4"/>
      <c r="O11" s="4"/>
      <c r="P11" s="4"/>
      <c r="Q11" s="4"/>
      <c r="R11" s="4"/>
      <c r="S11" s="4"/>
      <c r="T11" s="4"/>
      <c r="U11" s="4"/>
      <c r="V11" s="4"/>
      <c r="W11" s="4"/>
      <c r="X11" s="4"/>
      <c r="Y11" s="4"/>
      <c r="Z11" s="4"/>
    </row>
    <row r="12">
      <c r="A12" s="20">
        <v>7.0</v>
      </c>
      <c r="B12" s="23" t="s">
        <v>313</v>
      </c>
      <c r="C12" s="24"/>
      <c r="D12" s="48" t="str">
        <f>IFERROR(IFS(C12="Strongly Agree",3,C12="Agree",2,C12="Disagree",1,C12="Strongly Disagree",0),"")</f>
        <v/>
      </c>
      <c r="E12" s="4"/>
      <c r="F12" s="4"/>
      <c r="G12" s="4"/>
      <c r="H12" s="4"/>
      <c r="I12" s="4"/>
      <c r="J12" s="4"/>
      <c r="K12" s="4"/>
      <c r="L12" s="4"/>
      <c r="M12" s="4"/>
      <c r="N12" s="4"/>
      <c r="O12" s="4"/>
      <c r="P12" s="4"/>
      <c r="Q12" s="4"/>
      <c r="R12" s="4"/>
      <c r="S12" s="4"/>
      <c r="T12" s="4"/>
      <c r="U12" s="4"/>
      <c r="V12" s="4"/>
      <c r="W12" s="4"/>
      <c r="X12" s="4"/>
      <c r="Y12" s="4"/>
      <c r="Z12" s="4"/>
    </row>
    <row r="13">
      <c r="A13" s="20">
        <v>8.0</v>
      </c>
      <c r="B13" s="23" t="s">
        <v>314</v>
      </c>
      <c r="C13" s="24"/>
      <c r="D13" s="48" t="str">
        <f t="shared" ref="D13:D14" si="3">IFERROR(IFS(C13="Strongly Agree",0,C13="Agree",1,C13="Disagree",2,C13="Strongly Disagree",3),"")</f>
        <v/>
      </c>
      <c r="E13" s="4"/>
      <c r="F13" s="4"/>
      <c r="G13" s="4"/>
      <c r="H13" s="4"/>
      <c r="I13" s="4"/>
      <c r="J13" s="4"/>
      <c r="K13" s="4"/>
      <c r="L13" s="4"/>
      <c r="M13" s="4"/>
      <c r="N13" s="4"/>
      <c r="O13" s="4"/>
      <c r="P13" s="4"/>
      <c r="Q13" s="4"/>
      <c r="R13" s="4"/>
      <c r="S13" s="4"/>
      <c r="T13" s="4"/>
      <c r="U13" s="4"/>
      <c r="V13" s="4"/>
      <c r="W13" s="4"/>
      <c r="X13" s="4"/>
      <c r="Y13" s="4"/>
      <c r="Z13" s="4"/>
    </row>
    <row r="14">
      <c r="A14" s="20">
        <v>9.0</v>
      </c>
      <c r="B14" s="23" t="s">
        <v>315</v>
      </c>
      <c r="C14" s="24"/>
      <c r="D14" s="48" t="str">
        <f t="shared" si="3"/>
        <v/>
      </c>
      <c r="E14" s="4"/>
      <c r="F14" s="4"/>
      <c r="G14" s="4"/>
      <c r="H14" s="4"/>
      <c r="I14" s="4"/>
      <c r="J14" s="4"/>
      <c r="K14" s="4"/>
      <c r="L14" s="4"/>
      <c r="M14" s="4"/>
      <c r="N14" s="4"/>
      <c r="O14" s="4"/>
      <c r="P14" s="4"/>
      <c r="Q14" s="4"/>
      <c r="R14" s="4"/>
      <c r="S14" s="4"/>
      <c r="T14" s="4"/>
      <c r="U14" s="4"/>
      <c r="V14" s="4"/>
      <c r="W14" s="4"/>
      <c r="X14" s="4"/>
      <c r="Y14" s="4"/>
      <c r="Z14" s="4"/>
    </row>
    <row r="15">
      <c r="A15" s="20">
        <v>10.0</v>
      </c>
      <c r="B15" s="23" t="s">
        <v>316</v>
      </c>
      <c r="C15" s="24"/>
      <c r="D15" s="48" t="str">
        <f>IFERROR(IFS(C15="Strongly Agree",3,C15="Agree",2,C15="Disagree",1,C15="Strongly Disagree",0),"")</f>
        <v/>
      </c>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31" t="s">
        <v>122</v>
      </c>
      <c r="E17" s="4"/>
      <c r="F17" s="4"/>
      <c r="G17" s="4"/>
      <c r="H17" s="4"/>
      <c r="I17" s="4"/>
      <c r="J17" s="4"/>
      <c r="K17" s="4"/>
      <c r="L17" s="4"/>
      <c r="M17" s="4"/>
      <c r="N17" s="4"/>
      <c r="O17" s="4"/>
      <c r="P17" s="4"/>
      <c r="Q17" s="4"/>
      <c r="R17" s="4"/>
      <c r="S17" s="4"/>
      <c r="T17" s="4"/>
      <c r="U17" s="4"/>
      <c r="V17" s="4"/>
      <c r="W17" s="4"/>
      <c r="X17" s="4"/>
      <c r="Y17" s="4"/>
      <c r="Z17" s="4"/>
    </row>
    <row r="18">
      <c r="A18" s="32" t="s">
        <v>317</v>
      </c>
      <c r="B18" s="33">
        <f>SUM(D6:D15)</f>
        <v>0</v>
      </c>
      <c r="C18" s="4"/>
      <c r="D18" s="4"/>
      <c r="E18" s="4"/>
      <c r="F18" s="4"/>
      <c r="G18" s="4"/>
      <c r="H18" s="4"/>
      <c r="I18" s="4"/>
      <c r="J18" s="4"/>
      <c r="K18" s="4"/>
      <c r="L18" s="4"/>
      <c r="M18" s="4"/>
      <c r="N18" s="4"/>
      <c r="O18" s="4"/>
      <c r="P18" s="4"/>
      <c r="Q18" s="4"/>
      <c r="R18" s="4"/>
      <c r="S18" s="4"/>
      <c r="T18" s="4"/>
      <c r="U18" s="4"/>
      <c r="V18" s="4"/>
      <c r="W18" s="4"/>
      <c r="X18" s="4"/>
      <c r="Y18" s="4"/>
      <c r="Z18" s="4"/>
    </row>
    <row r="19">
      <c r="A19" s="15" t="s">
        <v>318</v>
      </c>
      <c r="B19" s="34" t="str">
        <f>IFS(B18&lt;15,"Below 15 — commonly cited as low self-esteem",B18&lt;=25,"15-25 — typical/normal range",TRUE(),"25-30 — high self-esteem")</f>
        <v>Below 15 — commonly cited as low self-esteem</v>
      </c>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11" t="s">
        <v>319</v>
      </c>
      <c r="E21" s="4"/>
      <c r="F21" s="4"/>
      <c r="G21" s="4"/>
      <c r="H21" s="4"/>
      <c r="I21" s="4"/>
      <c r="J21" s="4"/>
      <c r="K21" s="4"/>
      <c r="L21" s="4"/>
      <c r="M21" s="4"/>
      <c r="N21" s="4"/>
      <c r="O21" s="4"/>
      <c r="P21" s="4"/>
      <c r="Q21" s="4"/>
      <c r="R21" s="4"/>
      <c r="S21" s="4"/>
      <c r="T21" s="4"/>
      <c r="U21" s="4"/>
      <c r="V21" s="4"/>
      <c r="W21" s="4"/>
      <c r="X21" s="4"/>
      <c r="Y21" s="4"/>
      <c r="Z21" s="4"/>
    </row>
    <row r="22">
      <c r="E22" s="4"/>
      <c r="F22" s="4"/>
      <c r="G22" s="4"/>
      <c r="H22" s="4"/>
      <c r="I22" s="4"/>
      <c r="J22" s="4"/>
      <c r="K22" s="4"/>
      <c r="L22" s="4"/>
      <c r="M22" s="4"/>
      <c r="N22" s="4"/>
      <c r="O22" s="4"/>
      <c r="P22" s="4"/>
      <c r="Q22" s="4"/>
      <c r="R22" s="4"/>
      <c r="S22" s="4"/>
      <c r="T22" s="4"/>
      <c r="U22" s="4"/>
      <c r="V22" s="4"/>
      <c r="W22" s="4"/>
      <c r="X22" s="4"/>
      <c r="Y22" s="4"/>
      <c r="Z22" s="4"/>
    </row>
    <row r="23">
      <c r="E23" s="4"/>
      <c r="F23" s="4"/>
      <c r="G23" s="4"/>
      <c r="H23" s="4"/>
      <c r="I23" s="4"/>
      <c r="J23" s="4"/>
      <c r="K23" s="4"/>
      <c r="L23" s="4"/>
      <c r="M23" s="4"/>
      <c r="N23" s="4"/>
      <c r="O23" s="4"/>
      <c r="P23" s="4"/>
      <c r="Q23" s="4"/>
      <c r="R23" s="4"/>
      <c r="S23" s="4"/>
      <c r="T23" s="4"/>
      <c r="U23" s="4"/>
      <c r="V23" s="4"/>
      <c r="W23" s="4"/>
      <c r="X23" s="4"/>
      <c r="Y23" s="4"/>
      <c r="Z23" s="4"/>
    </row>
    <row r="2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A1:D1"/>
    <mergeCell ref="A2:D2"/>
    <mergeCell ref="A4:D4"/>
    <mergeCell ref="A17:D17"/>
    <mergeCell ref="A21:D24"/>
  </mergeCells>
  <dataValidations>
    <dataValidation type="list" allowBlank="1" showInputMessage="1" showErrorMessage="1" prompt="Invalid entry - Choose one of: Strongly Agree,Agree,Disagree,Strongly Disagree" sqref="C6:C15">
      <formula1>"Strongly Agree,Agree,Disagree,Strongly Disagree"</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2.86"/>
  </cols>
  <sheetData>
    <row r="1">
      <c r="A1" s="2" t="s">
        <v>320</v>
      </c>
      <c r="E1" s="4"/>
      <c r="F1" s="4"/>
      <c r="G1" s="4"/>
      <c r="H1" s="4"/>
      <c r="I1" s="4"/>
      <c r="J1" s="4"/>
      <c r="K1" s="4"/>
      <c r="L1" s="4"/>
      <c r="M1" s="4"/>
      <c r="N1" s="4"/>
      <c r="O1" s="4"/>
      <c r="P1" s="4"/>
      <c r="Q1" s="4"/>
      <c r="R1" s="4"/>
      <c r="S1" s="4"/>
      <c r="T1" s="4"/>
      <c r="U1" s="4"/>
      <c r="V1" s="4"/>
      <c r="W1" s="4"/>
      <c r="X1" s="4"/>
      <c r="Y1" s="4"/>
      <c r="Z1" s="4"/>
    </row>
    <row r="2">
      <c r="A2" s="8" t="s">
        <v>321</v>
      </c>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4" t="s">
        <v>7</v>
      </c>
      <c r="B4" s="14" t="s">
        <v>10</v>
      </c>
      <c r="C4" s="14" t="s">
        <v>12</v>
      </c>
      <c r="D4" s="14" t="s">
        <v>306</v>
      </c>
      <c r="E4" s="4"/>
      <c r="F4" s="4"/>
      <c r="G4" s="4"/>
      <c r="H4" s="4"/>
      <c r="I4" s="4"/>
      <c r="J4" s="4"/>
      <c r="K4" s="4"/>
      <c r="L4" s="4"/>
      <c r="M4" s="4"/>
      <c r="N4" s="4"/>
      <c r="O4" s="4"/>
      <c r="P4" s="4"/>
      <c r="Q4" s="4"/>
      <c r="R4" s="4"/>
      <c r="S4" s="4"/>
      <c r="T4" s="4"/>
      <c r="U4" s="4"/>
      <c r="V4" s="4"/>
      <c r="W4" s="4"/>
      <c r="X4" s="4"/>
      <c r="Y4" s="4"/>
      <c r="Z4" s="4"/>
    </row>
    <row r="5">
      <c r="A5" s="20">
        <v>1.0</v>
      </c>
      <c r="B5" s="23" t="s">
        <v>322</v>
      </c>
      <c r="C5" s="24"/>
      <c r="D5" s="48" t="str">
        <f t="array" ref="D5">IFERROR(MATCH(C5,{"Never","Monthly or less","2-4 times a month","2-3 times a week","4+ times a week"},0)-1,"")</f>
        <v/>
      </c>
      <c r="E5" s="4"/>
      <c r="F5" s="4"/>
      <c r="G5" s="4"/>
      <c r="H5" s="4"/>
      <c r="I5" s="4"/>
      <c r="J5" s="4"/>
      <c r="K5" s="4"/>
      <c r="L5" s="4"/>
      <c r="M5" s="4"/>
      <c r="N5" s="4"/>
      <c r="O5" s="4"/>
      <c r="P5" s="4"/>
      <c r="Q5" s="4"/>
      <c r="R5" s="4"/>
      <c r="S5" s="4"/>
      <c r="T5" s="4"/>
      <c r="U5" s="4"/>
      <c r="V5" s="4"/>
      <c r="W5" s="4"/>
      <c r="X5" s="4"/>
      <c r="Y5" s="4"/>
      <c r="Z5" s="4"/>
    </row>
    <row r="6">
      <c r="A6" s="20">
        <v>2.0</v>
      </c>
      <c r="B6" s="23" t="s">
        <v>323</v>
      </c>
      <c r="C6" s="24"/>
      <c r="D6" s="48" t="str">
        <f t="array" ref="D6">IFERROR(MATCH(C6,{"1 or 2","3 or 4","5 or 6","7 to 9","10 or more"},0)-1,"")</f>
        <v/>
      </c>
      <c r="E6" s="4"/>
      <c r="F6" s="4"/>
      <c r="G6" s="4"/>
      <c r="H6" s="4"/>
      <c r="I6" s="4"/>
      <c r="J6" s="4"/>
      <c r="K6" s="4"/>
      <c r="L6" s="4"/>
      <c r="M6" s="4"/>
      <c r="N6" s="4"/>
      <c r="O6" s="4"/>
      <c r="P6" s="4"/>
      <c r="Q6" s="4"/>
      <c r="R6" s="4"/>
      <c r="S6" s="4"/>
      <c r="T6" s="4"/>
      <c r="U6" s="4"/>
      <c r="V6" s="4"/>
      <c r="W6" s="4"/>
      <c r="X6" s="4"/>
      <c r="Y6" s="4"/>
      <c r="Z6" s="4"/>
    </row>
    <row r="7">
      <c r="A7" s="20">
        <v>3.0</v>
      </c>
      <c r="B7" s="23" t="s">
        <v>324</v>
      </c>
      <c r="C7" s="24"/>
      <c r="D7" s="48" t="str">
        <f t="array" ref="D7">IFERROR(MATCH(C7,{"Never","Less than monthly","Monthly","Weekly","Daily or almost daily"},0)-1,"")</f>
        <v/>
      </c>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31" t="s">
        <v>122</v>
      </c>
      <c r="E9" s="4"/>
      <c r="F9" s="4"/>
      <c r="G9" s="4"/>
      <c r="H9" s="4"/>
      <c r="I9" s="4"/>
      <c r="J9" s="4"/>
      <c r="K9" s="4"/>
      <c r="L9" s="4"/>
      <c r="M9" s="4"/>
      <c r="N9" s="4"/>
      <c r="O9" s="4"/>
      <c r="P9" s="4"/>
      <c r="Q9" s="4"/>
      <c r="R9" s="4"/>
      <c r="S9" s="4"/>
      <c r="T9" s="4"/>
      <c r="U9" s="4"/>
      <c r="V9" s="4"/>
      <c r="W9" s="4"/>
      <c r="X9" s="4"/>
      <c r="Y9" s="4"/>
      <c r="Z9" s="4"/>
    </row>
    <row r="10">
      <c r="A10" s="15" t="s">
        <v>325</v>
      </c>
      <c r="B10" s="49"/>
      <c r="C10" s="4"/>
      <c r="D10" s="4"/>
      <c r="E10" s="4"/>
      <c r="F10" s="4"/>
      <c r="G10" s="4"/>
      <c r="H10" s="4"/>
      <c r="I10" s="4"/>
      <c r="J10" s="4"/>
      <c r="K10" s="4"/>
      <c r="L10" s="4"/>
      <c r="M10" s="4"/>
      <c r="N10" s="4"/>
      <c r="O10" s="4"/>
      <c r="P10" s="4"/>
      <c r="Q10" s="4"/>
      <c r="R10" s="4"/>
      <c r="S10" s="4"/>
      <c r="T10" s="4"/>
      <c r="U10" s="4"/>
      <c r="V10" s="4"/>
      <c r="W10" s="4"/>
      <c r="X10" s="4"/>
      <c r="Y10" s="4"/>
      <c r="Z10" s="4"/>
    </row>
    <row r="11">
      <c r="A11" s="32" t="s">
        <v>326</v>
      </c>
      <c r="B11" s="33">
        <f>SUM(D5:D7)</f>
        <v>0</v>
      </c>
      <c r="C11" s="4"/>
      <c r="D11" s="4"/>
      <c r="E11" s="4"/>
      <c r="F11" s="4"/>
      <c r="G11" s="4"/>
      <c r="H11" s="4"/>
      <c r="I11" s="4"/>
      <c r="J11" s="4"/>
      <c r="K11" s="4"/>
      <c r="L11" s="4"/>
      <c r="M11" s="4"/>
      <c r="N11" s="4"/>
      <c r="O11" s="4"/>
      <c r="P11" s="4"/>
      <c r="Q11" s="4"/>
      <c r="R11" s="4"/>
      <c r="S11" s="4"/>
      <c r="T11" s="4"/>
      <c r="U11" s="4"/>
      <c r="V11" s="4"/>
      <c r="W11" s="4"/>
      <c r="X11" s="4"/>
      <c r="Y11" s="4"/>
      <c r="Z11" s="4"/>
    </row>
    <row r="12">
      <c r="A12" s="15" t="s">
        <v>327</v>
      </c>
      <c r="B12" s="34" t="str">
        <f>IF(B10="","Select sex to apply the correct cutoff",IF(AND(B10="Female",B11&gt;=3),"POSITIVE — hazardous drinking or active AUD likely",IF(AND(B10="Male",B11&gt;=4),"POSITIVE — hazardous drinking or active AUD likely","Negative screen")))</f>
        <v>Select sex to apply the correct cutoff</v>
      </c>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11" t="s">
        <v>328</v>
      </c>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A1:D1"/>
    <mergeCell ref="A2:D2"/>
    <mergeCell ref="A9:D9"/>
    <mergeCell ref="A14:D14"/>
  </mergeCells>
  <dataValidations>
    <dataValidation type="list" allowBlank="1" showInputMessage="1" showErrorMessage="1" prompt="Invalid entry - Choose one of: Female,Male" sqref="B10">
      <formula1>"Female,Male"</formula1>
    </dataValidation>
    <dataValidation type="list" allowBlank="1" showInputMessage="1" showErrorMessage="1" prompt="Invalid entry - Choose one of: 1 or 2,3 or 4,5 or 6,7 to 9,10 or more" sqref="C6">
      <formula1>"1 or 2,3 or 4,5 or 6,7 to 9,10 or more"</formula1>
    </dataValidation>
    <dataValidation type="list" allowBlank="1" showInputMessage="1" showErrorMessage="1" prompt="Invalid entry - Choose one of: Never,Monthly or less,2-4 times a month,2-3 times a week,4+ times a week" sqref="C5">
      <formula1>"Never,Monthly or less,2-4 times a month,2-3 times a week,4+ times a week"</formula1>
    </dataValidation>
    <dataValidation type="list" allowBlank="1" showInputMessage="1" showErrorMessage="1" prompt="Invalid entry - Choose one of: Never,Less than monthly,Monthly,Weekly,Daily or almost daily" sqref="C7">
      <formula1>"Never,Less than monthly,Monthly,Weekly,Daily or almost daily"</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6.43"/>
  </cols>
  <sheetData>
    <row r="1">
      <c r="A1" s="2" t="s">
        <v>329</v>
      </c>
      <c r="E1" s="4"/>
      <c r="F1" s="4"/>
      <c r="G1" s="4"/>
      <c r="H1" s="4"/>
      <c r="I1" s="4"/>
      <c r="J1" s="4"/>
      <c r="K1" s="4"/>
      <c r="L1" s="4"/>
      <c r="M1" s="4"/>
      <c r="N1" s="4"/>
      <c r="O1" s="4"/>
      <c r="P1" s="4"/>
      <c r="Q1" s="4"/>
      <c r="R1" s="4"/>
      <c r="S1" s="4"/>
      <c r="T1" s="4"/>
      <c r="U1" s="4"/>
      <c r="V1" s="4"/>
      <c r="W1" s="4"/>
      <c r="X1" s="4"/>
      <c r="Y1" s="4"/>
      <c r="Z1" s="4"/>
    </row>
    <row r="2">
      <c r="A2" s="8" t="s">
        <v>330</v>
      </c>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4" t="s">
        <v>7</v>
      </c>
      <c r="B4" s="14" t="s">
        <v>10</v>
      </c>
      <c r="C4" s="14" t="s">
        <v>12</v>
      </c>
      <c r="D4" s="14" t="s">
        <v>306</v>
      </c>
      <c r="E4" s="4"/>
      <c r="F4" s="4"/>
      <c r="G4" s="4"/>
      <c r="H4" s="4"/>
      <c r="I4" s="4"/>
      <c r="J4" s="4"/>
      <c r="K4" s="4"/>
      <c r="L4" s="4"/>
      <c r="M4" s="4"/>
      <c r="N4" s="4"/>
      <c r="O4" s="4"/>
      <c r="P4" s="4"/>
      <c r="Q4" s="4"/>
      <c r="R4" s="4"/>
      <c r="S4" s="4"/>
      <c r="T4" s="4"/>
      <c r="U4" s="4"/>
      <c r="V4" s="4"/>
      <c r="W4" s="4"/>
      <c r="X4" s="4"/>
      <c r="Y4" s="4"/>
      <c r="Z4" s="4"/>
    </row>
    <row r="5">
      <c r="A5" s="20">
        <v>1.0</v>
      </c>
      <c r="B5" s="23" t="s">
        <v>322</v>
      </c>
      <c r="C5" s="24"/>
      <c r="D5" s="48" t="str">
        <f t="array" ref="D5">IFERROR(MATCH(C5,{"Never","Monthly or less","2-4 times a month","2-3 times a week","4+ times a week"},0)-1,"")</f>
        <v/>
      </c>
      <c r="E5" s="4"/>
      <c r="F5" s="4"/>
      <c r="G5" s="4"/>
      <c r="H5" s="4"/>
      <c r="I5" s="4"/>
      <c r="J5" s="4"/>
      <c r="K5" s="4"/>
      <c r="L5" s="4"/>
      <c r="M5" s="4"/>
      <c r="N5" s="4"/>
      <c r="O5" s="4"/>
      <c r="P5" s="4"/>
      <c r="Q5" s="4"/>
      <c r="R5" s="4"/>
      <c r="S5" s="4"/>
      <c r="T5" s="4"/>
      <c r="U5" s="4"/>
      <c r="V5" s="4"/>
      <c r="W5" s="4"/>
      <c r="X5" s="4"/>
      <c r="Y5" s="4"/>
      <c r="Z5" s="4"/>
    </row>
    <row r="6">
      <c r="A6" s="20">
        <v>2.0</v>
      </c>
      <c r="B6" s="23" t="s">
        <v>323</v>
      </c>
      <c r="C6" s="24"/>
      <c r="D6" s="48" t="str">
        <f t="array" ref="D6">IFERROR(MATCH(C6,{"1 or 2","3 or 4","5 or 6","7 to 9","10 or more"},0)-1,"")</f>
        <v/>
      </c>
      <c r="E6" s="4"/>
      <c r="F6" s="4"/>
      <c r="G6" s="4"/>
      <c r="H6" s="4"/>
      <c r="I6" s="4"/>
      <c r="J6" s="4"/>
      <c r="K6" s="4"/>
      <c r="L6" s="4"/>
      <c r="M6" s="4"/>
      <c r="N6" s="4"/>
      <c r="O6" s="4"/>
      <c r="P6" s="4"/>
      <c r="Q6" s="4"/>
      <c r="R6" s="4"/>
      <c r="S6" s="4"/>
      <c r="T6" s="4"/>
      <c r="U6" s="4"/>
      <c r="V6" s="4"/>
      <c r="W6" s="4"/>
      <c r="X6" s="4"/>
      <c r="Y6" s="4"/>
      <c r="Z6" s="4"/>
    </row>
    <row r="7">
      <c r="A7" s="20">
        <v>3.0</v>
      </c>
      <c r="B7" s="23" t="s">
        <v>324</v>
      </c>
      <c r="C7" s="24"/>
      <c r="D7" s="48" t="str">
        <f t="shared" ref="D7:D12" si="1">IFERROR(MATCH(C7,{"Never","Less than monthly","Monthly","Weekly","Daily or almost daily"},0)-1,"")</f>
        <v/>
      </c>
      <c r="E7" s="4"/>
      <c r="F7" s="4"/>
      <c r="G7" s="4"/>
      <c r="H7" s="4"/>
      <c r="I7" s="4"/>
      <c r="J7" s="4"/>
      <c r="K7" s="4"/>
      <c r="L7" s="4"/>
      <c r="M7" s="4"/>
      <c r="N7" s="4"/>
      <c r="O7" s="4"/>
      <c r="P7" s="4"/>
      <c r="Q7" s="4"/>
      <c r="R7" s="4"/>
      <c r="S7" s="4"/>
      <c r="T7" s="4"/>
      <c r="U7" s="4"/>
      <c r="V7" s="4"/>
      <c r="W7" s="4"/>
      <c r="X7" s="4"/>
      <c r="Y7" s="4"/>
      <c r="Z7" s="4"/>
    </row>
    <row r="8">
      <c r="A8" s="20">
        <v>4.0</v>
      </c>
      <c r="B8" s="23" t="s">
        <v>340</v>
      </c>
      <c r="C8" s="24"/>
      <c r="D8" s="48" t="str">
        <f t="shared" si="1"/>
        <v/>
      </c>
      <c r="E8" s="4"/>
      <c r="F8" s="4"/>
      <c r="G8" s="4"/>
      <c r="H8" s="4"/>
      <c r="I8" s="4"/>
      <c r="J8" s="4"/>
      <c r="K8" s="4"/>
      <c r="L8" s="4"/>
      <c r="M8" s="4"/>
      <c r="N8" s="4"/>
      <c r="O8" s="4"/>
      <c r="P8" s="4"/>
      <c r="Q8" s="4"/>
      <c r="R8" s="4"/>
      <c r="S8" s="4"/>
      <c r="T8" s="4"/>
      <c r="U8" s="4"/>
      <c r="V8" s="4"/>
      <c r="W8" s="4"/>
      <c r="X8" s="4"/>
      <c r="Y8" s="4"/>
      <c r="Z8" s="4"/>
    </row>
    <row r="9">
      <c r="A9" s="20">
        <v>5.0</v>
      </c>
      <c r="B9" s="23" t="s">
        <v>342</v>
      </c>
      <c r="C9" s="24"/>
      <c r="D9" s="48" t="str">
        <f t="shared" si="1"/>
        <v/>
      </c>
      <c r="E9" s="4"/>
      <c r="F9" s="4"/>
      <c r="G9" s="4"/>
      <c r="H9" s="4"/>
      <c r="I9" s="4"/>
      <c r="J9" s="4"/>
      <c r="K9" s="4"/>
      <c r="L9" s="4"/>
      <c r="M9" s="4"/>
      <c r="N9" s="4"/>
      <c r="O9" s="4"/>
      <c r="P9" s="4"/>
      <c r="Q9" s="4"/>
      <c r="R9" s="4"/>
      <c r="S9" s="4"/>
      <c r="T9" s="4"/>
      <c r="U9" s="4"/>
      <c r="V9" s="4"/>
      <c r="W9" s="4"/>
      <c r="X9" s="4"/>
      <c r="Y9" s="4"/>
      <c r="Z9" s="4"/>
    </row>
    <row r="10">
      <c r="A10" s="20">
        <v>6.0</v>
      </c>
      <c r="B10" s="23" t="s">
        <v>343</v>
      </c>
      <c r="C10" s="24"/>
      <c r="D10" s="48" t="str">
        <f t="shared" si="1"/>
        <v/>
      </c>
      <c r="E10" s="4"/>
      <c r="F10" s="4"/>
      <c r="G10" s="4"/>
      <c r="H10" s="4"/>
      <c r="I10" s="4"/>
      <c r="J10" s="4"/>
      <c r="K10" s="4"/>
      <c r="L10" s="4"/>
      <c r="M10" s="4"/>
      <c r="N10" s="4"/>
      <c r="O10" s="4"/>
      <c r="P10" s="4"/>
      <c r="Q10" s="4"/>
      <c r="R10" s="4"/>
      <c r="S10" s="4"/>
      <c r="T10" s="4"/>
      <c r="U10" s="4"/>
      <c r="V10" s="4"/>
      <c r="W10" s="4"/>
      <c r="X10" s="4"/>
      <c r="Y10" s="4"/>
      <c r="Z10" s="4"/>
    </row>
    <row r="11">
      <c r="A11" s="20">
        <v>7.0</v>
      </c>
      <c r="B11" s="23" t="s">
        <v>344</v>
      </c>
      <c r="C11" s="24"/>
      <c r="D11" s="48" t="str">
        <f t="shared" si="1"/>
        <v/>
      </c>
      <c r="E11" s="4"/>
      <c r="F11" s="4"/>
      <c r="G11" s="4"/>
      <c r="H11" s="4"/>
      <c r="I11" s="4"/>
      <c r="J11" s="4"/>
      <c r="K11" s="4"/>
      <c r="L11" s="4"/>
      <c r="M11" s="4"/>
      <c r="N11" s="4"/>
      <c r="O11" s="4"/>
      <c r="P11" s="4"/>
      <c r="Q11" s="4"/>
      <c r="R11" s="4"/>
      <c r="S11" s="4"/>
      <c r="T11" s="4"/>
      <c r="U11" s="4"/>
      <c r="V11" s="4"/>
      <c r="W11" s="4"/>
      <c r="X11" s="4"/>
      <c r="Y11" s="4"/>
      <c r="Z11" s="4"/>
    </row>
    <row r="12">
      <c r="A12" s="20">
        <v>8.0</v>
      </c>
      <c r="B12" s="23" t="s">
        <v>345</v>
      </c>
      <c r="C12" s="24"/>
      <c r="D12" s="48" t="str">
        <f t="shared" si="1"/>
        <v/>
      </c>
      <c r="E12" s="4"/>
      <c r="F12" s="4"/>
      <c r="G12" s="4"/>
      <c r="H12" s="4"/>
      <c r="I12" s="4"/>
      <c r="J12" s="4"/>
      <c r="K12" s="4"/>
      <c r="L12" s="4"/>
      <c r="M12" s="4"/>
      <c r="N12" s="4"/>
      <c r="O12" s="4"/>
      <c r="P12" s="4"/>
      <c r="Q12" s="4"/>
      <c r="R12" s="4"/>
      <c r="S12" s="4"/>
      <c r="T12" s="4"/>
      <c r="U12" s="4"/>
      <c r="V12" s="4"/>
      <c r="W12" s="4"/>
      <c r="X12" s="4"/>
      <c r="Y12" s="4"/>
      <c r="Z12" s="4"/>
    </row>
    <row r="13">
      <c r="A13" s="20">
        <v>9.0</v>
      </c>
      <c r="B13" s="23" t="s">
        <v>346</v>
      </c>
      <c r="C13" s="24"/>
      <c r="D13" s="48" t="str">
        <f t="shared" ref="D13:D14" si="2">IFERROR((MATCH(C13,{"No","Yes, but not in the last year","Yes, during the last year"},0)-1)*2,"")</f>
        <v/>
      </c>
      <c r="E13" s="4"/>
      <c r="F13" s="4"/>
      <c r="G13" s="4"/>
      <c r="H13" s="4"/>
      <c r="I13" s="4"/>
      <c r="J13" s="4"/>
      <c r="K13" s="4"/>
      <c r="L13" s="4"/>
      <c r="M13" s="4"/>
      <c r="N13" s="4"/>
      <c r="O13" s="4"/>
      <c r="P13" s="4"/>
      <c r="Q13" s="4"/>
      <c r="R13" s="4"/>
      <c r="S13" s="4"/>
      <c r="T13" s="4"/>
      <c r="U13" s="4"/>
      <c r="V13" s="4"/>
      <c r="W13" s="4"/>
      <c r="X13" s="4"/>
      <c r="Y13" s="4"/>
      <c r="Z13" s="4"/>
    </row>
    <row r="14">
      <c r="A14" s="20">
        <v>10.0</v>
      </c>
      <c r="B14" s="23" t="s">
        <v>347</v>
      </c>
      <c r="C14" s="24"/>
      <c r="D14" s="48" t="str">
        <f t="shared" si="2"/>
        <v/>
      </c>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31" t="s">
        <v>122</v>
      </c>
      <c r="E16" s="4"/>
      <c r="F16" s="4"/>
      <c r="G16" s="4"/>
      <c r="H16" s="4"/>
      <c r="I16" s="4"/>
      <c r="J16" s="4"/>
      <c r="K16" s="4"/>
      <c r="L16" s="4"/>
      <c r="M16" s="4"/>
      <c r="N16" s="4"/>
      <c r="O16" s="4"/>
      <c r="P16" s="4"/>
      <c r="Q16" s="4"/>
      <c r="R16" s="4"/>
      <c r="S16" s="4"/>
      <c r="T16" s="4"/>
      <c r="U16" s="4"/>
      <c r="V16" s="4"/>
      <c r="W16" s="4"/>
      <c r="X16" s="4"/>
      <c r="Y16" s="4"/>
      <c r="Z16" s="4"/>
    </row>
    <row r="17">
      <c r="A17" s="15" t="s">
        <v>62</v>
      </c>
      <c r="B17" s="15" t="s">
        <v>64</v>
      </c>
      <c r="C17" s="4"/>
      <c r="D17" s="4"/>
      <c r="E17" s="4"/>
      <c r="F17" s="4"/>
      <c r="G17" s="4"/>
      <c r="H17" s="4"/>
      <c r="I17" s="4"/>
      <c r="J17" s="4"/>
      <c r="K17" s="4"/>
      <c r="L17" s="4"/>
      <c r="M17" s="4"/>
      <c r="N17" s="4"/>
      <c r="O17" s="4"/>
      <c r="P17" s="4"/>
      <c r="Q17" s="4"/>
      <c r="R17" s="4"/>
      <c r="S17" s="4"/>
      <c r="T17" s="4"/>
      <c r="U17" s="4"/>
      <c r="V17" s="4"/>
      <c r="W17" s="4"/>
      <c r="X17" s="4"/>
      <c r="Y17" s="4"/>
      <c r="Z17" s="4"/>
    </row>
    <row r="18">
      <c r="A18" s="32" t="s">
        <v>348</v>
      </c>
      <c r="B18" s="33">
        <f>SUM(D5:D14)</f>
        <v>0</v>
      </c>
      <c r="C18" s="4"/>
      <c r="D18" s="4"/>
      <c r="E18" s="4"/>
      <c r="F18" s="4"/>
      <c r="G18" s="4"/>
      <c r="H18" s="4"/>
      <c r="I18" s="4"/>
      <c r="J18" s="4"/>
      <c r="K18" s="4"/>
      <c r="L18" s="4"/>
      <c r="M18" s="4"/>
      <c r="N18" s="4"/>
      <c r="O18" s="4"/>
      <c r="P18" s="4"/>
      <c r="Q18" s="4"/>
      <c r="R18" s="4"/>
      <c r="S18" s="4"/>
      <c r="T18" s="4"/>
      <c r="U18" s="4"/>
      <c r="V18" s="4"/>
      <c r="W18" s="4"/>
      <c r="X18" s="4"/>
      <c r="Y18" s="4"/>
      <c r="Z18" s="4"/>
    </row>
    <row r="19">
      <c r="A19" s="15" t="s">
        <v>349</v>
      </c>
      <c r="B19" s="34" t="str">
        <f>IFS(B18&lt;8,"Zone I (0-7) — Low risk / abstinence",B18&lt;16,"Zone II (8-15) — Hazardous/risky drinking; brief advice recommended",B18&lt;20,"Zone III (16-19) — Harmful drinking; brief counselling + monitoring recommended",TRUE(),"Zone IV (20-40) — Possible alcohol dependence; refer for diagnostic evaluation and treatment")</f>
        <v>Zone I (0-7) — Low risk / abstinence</v>
      </c>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11" t="s">
        <v>350</v>
      </c>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A1:D1"/>
    <mergeCell ref="A2:D2"/>
    <mergeCell ref="A16:D16"/>
    <mergeCell ref="A21:D21"/>
  </mergeCells>
  <dataValidations>
    <dataValidation type="list" allowBlank="1" showInputMessage="1" showErrorMessage="1" prompt="Invalid entry - Choose one of: 1 or 2,3 or 4,5 or 6,7 to 9,10 or more" sqref="C6">
      <formula1>"1 or 2,3 or 4,5 or 6,7 to 9,10 or more"</formula1>
    </dataValidation>
    <dataValidation type="list" allowBlank="1" showInputMessage="1" showErrorMessage="1" prompt="Invalid entry - Choose one of: Never,Monthly or less,2-4 times a month,2-3 times a week,4+ times a week" sqref="C5">
      <formula1>"Never,Monthly or less,2-4 times a month,2-3 times a week,4+ times a week"</formula1>
    </dataValidation>
    <dataValidation type="list" allowBlank="1" showInputMessage="1" showErrorMessage="1" prompt="Invalid entry - Choose one of: No,Yes, but not in the last year,Yes, during the last year" sqref="C13:C14">
      <formula1>"No,Yes,but not in the last year,Yes,during the last year"</formula1>
    </dataValidation>
    <dataValidation type="list" allowBlank="1" showInputMessage="1" showErrorMessage="1" prompt="Invalid entry - Choose one of: Never,Less than monthly,Monthly,Weekly,Daily or almost daily" sqref="C7:C12">
      <formula1>"Never,Less than monthly,Monthly,Weekly,Daily or almost daily"</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9.71"/>
  </cols>
  <sheetData>
    <row r="1">
      <c r="A1" s="2" t="s">
        <v>331</v>
      </c>
      <c r="E1" s="4"/>
      <c r="F1" s="4"/>
      <c r="G1" s="4"/>
      <c r="H1" s="4"/>
      <c r="I1" s="4"/>
      <c r="J1" s="4"/>
      <c r="K1" s="4"/>
      <c r="L1" s="4"/>
      <c r="M1" s="4"/>
      <c r="N1" s="4"/>
      <c r="O1" s="4"/>
      <c r="P1" s="4"/>
      <c r="Q1" s="4"/>
      <c r="R1" s="4"/>
      <c r="S1" s="4"/>
      <c r="T1" s="4"/>
      <c r="U1" s="4"/>
      <c r="V1" s="4"/>
      <c r="W1" s="4"/>
      <c r="X1" s="4"/>
      <c r="Y1" s="4"/>
      <c r="Z1" s="4"/>
    </row>
    <row r="2">
      <c r="A2" s="8" t="s">
        <v>332</v>
      </c>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4" t="s">
        <v>7</v>
      </c>
      <c r="B4" s="14" t="s">
        <v>10</v>
      </c>
      <c r="C4" s="14" t="s">
        <v>12</v>
      </c>
      <c r="D4" s="17"/>
      <c r="E4" s="4"/>
      <c r="F4" s="4"/>
      <c r="G4" s="4"/>
      <c r="H4" s="4"/>
      <c r="I4" s="4"/>
      <c r="J4" s="4"/>
      <c r="K4" s="4"/>
      <c r="L4" s="4"/>
      <c r="M4" s="4"/>
      <c r="N4" s="4"/>
      <c r="O4" s="4"/>
      <c r="P4" s="4"/>
      <c r="Q4" s="4"/>
      <c r="R4" s="4"/>
      <c r="S4" s="4"/>
      <c r="T4" s="4"/>
      <c r="U4" s="4"/>
      <c r="V4" s="4"/>
      <c r="W4" s="4"/>
      <c r="X4" s="4"/>
      <c r="Y4" s="4"/>
      <c r="Z4" s="4"/>
    </row>
    <row r="5">
      <c r="A5" s="20">
        <v>1.0</v>
      </c>
      <c r="B5" s="23" t="s">
        <v>333</v>
      </c>
      <c r="C5" s="24"/>
      <c r="D5" s="4"/>
      <c r="E5" s="4"/>
      <c r="F5" s="4"/>
      <c r="G5" s="4"/>
      <c r="H5" s="4"/>
      <c r="I5" s="4"/>
      <c r="J5" s="4"/>
      <c r="K5" s="4"/>
      <c r="L5" s="4"/>
      <c r="M5" s="4"/>
      <c r="N5" s="4"/>
      <c r="O5" s="4"/>
      <c r="P5" s="4"/>
      <c r="Q5" s="4"/>
      <c r="R5" s="4"/>
      <c r="S5" s="4"/>
      <c r="T5" s="4"/>
      <c r="U5" s="4"/>
      <c r="V5" s="4"/>
      <c r="W5" s="4"/>
      <c r="X5" s="4"/>
      <c r="Y5" s="4"/>
      <c r="Z5" s="4"/>
    </row>
    <row r="6">
      <c r="A6" s="20">
        <v>2.0</v>
      </c>
      <c r="B6" s="23" t="s">
        <v>334</v>
      </c>
      <c r="C6" s="24"/>
      <c r="D6" s="4"/>
      <c r="E6" s="4"/>
      <c r="F6" s="4"/>
      <c r="G6" s="4"/>
      <c r="H6" s="4"/>
      <c r="I6" s="4"/>
      <c r="J6" s="4"/>
      <c r="K6" s="4"/>
      <c r="L6" s="4"/>
      <c r="M6" s="4"/>
      <c r="N6" s="4"/>
      <c r="O6" s="4"/>
      <c r="P6" s="4"/>
      <c r="Q6" s="4"/>
      <c r="R6" s="4"/>
      <c r="S6" s="4"/>
      <c r="T6" s="4"/>
      <c r="U6" s="4"/>
      <c r="V6" s="4"/>
      <c r="W6" s="4"/>
      <c r="X6" s="4"/>
      <c r="Y6" s="4"/>
      <c r="Z6" s="4"/>
    </row>
    <row r="7">
      <c r="A7" s="20">
        <v>3.0</v>
      </c>
      <c r="B7" s="23" t="s">
        <v>335</v>
      </c>
      <c r="C7" s="24"/>
      <c r="D7" s="4"/>
      <c r="E7" s="4"/>
      <c r="F7" s="4"/>
      <c r="G7" s="4"/>
      <c r="H7" s="4"/>
      <c r="I7" s="4"/>
      <c r="J7" s="4"/>
      <c r="K7" s="4"/>
      <c r="L7" s="4"/>
      <c r="M7" s="4"/>
      <c r="N7" s="4"/>
      <c r="O7" s="4"/>
      <c r="P7" s="4"/>
      <c r="Q7" s="4"/>
      <c r="R7" s="4"/>
      <c r="S7" s="4"/>
      <c r="T7" s="4"/>
      <c r="U7" s="4"/>
      <c r="V7" s="4"/>
      <c r="W7" s="4"/>
      <c r="X7" s="4"/>
      <c r="Y7" s="4"/>
      <c r="Z7" s="4"/>
    </row>
    <row r="8">
      <c r="A8" s="20">
        <v>4.0</v>
      </c>
      <c r="B8" s="23" t="s">
        <v>336</v>
      </c>
      <c r="C8" s="24"/>
      <c r="D8" s="4"/>
      <c r="E8" s="4"/>
      <c r="F8" s="4"/>
      <c r="G8" s="4"/>
      <c r="H8" s="4"/>
      <c r="I8" s="4"/>
      <c r="J8" s="4"/>
      <c r="K8" s="4"/>
      <c r="L8" s="4"/>
      <c r="M8" s="4"/>
      <c r="N8" s="4"/>
      <c r="O8" s="4"/>
      <c r="P8" s="4"/>
      <c r="Q8" s="4"/>
      <c r="R8" s="4"/>
      <c r="S8" s="4"/>
      <c r="T8" s="4"/>
      <c r="U8" s="4"/>
      <c r="V8" s="4"/>
      <c r="W8" s="4"/>
      <c r="X8" s="4"/>
      <c r="Y8" s="4"/>
      <c r="Z8" s="4"/>
    </row>
    <row r="9">
      <c r="A9" s="20">
        <v>5.0</v>
      </c>
      <c r="B9" s="23" t="s">
        <v>337</v>
      </c>
      <c r="C9" s="2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31" t="s">
        <v>122</v>
      </c>
      <c r="E11" s="4"/>
      <c r="F11" s="4"/>
      <c r="G11" s="4"/>
      <c r="H11" s="4"/>
      <c r="I11" s="4"/>
      <c r="J11" s="4"/>
      <c r="K11" s="4"/>
      <c r="L11" s="4"/>
      <c r="M11" s="4"/>
      <c r="N11" s="4"/>
      <c r="O11" s="4"/>
      <c r="P11" s="4"/>
      <c r="Q11" s="4"/>
      <c r="R11" s="4"/>
      <c r="S11" s="4"/>
      <c r="T11" s="4"/>
      <c r="U11" s="4"/>
      <c r="V11" s="4"/>
      <c r="W11" s="4"/>
      <c r="X11" s="4"/>
      <c r="Y11" s="4"/>
      <c r="Z11" s="4"/>
    </row>
    <row r="12">
      <c r="A12" s="15" t="s">
        <v>62</v>
      </c>
      <c r="B12" s="15" t="s">
        <v>64</v>
      </c>
      <c r="C12" s="4"/>
      <c r="D12" s="4"/>
      <c r="E12" s="4"/>
      <c r="F12" s="4"/>
      <c r="G12" s="4"/>
      <c r="H12" s="4"/>
      <c r="I12" s="4"/>
      <c r="J12" s="4"/>
      <c r="K12" s="4"/>
      <c r="L12" s="4"/>
      <c r="M12" s="4"/>
      <c r="N12" s="4"/>
      <c r="O12" s="4"/>
      <c r="P12" s="4"/>
      <c r="Q12" s="4"/>
      <c r="R12" s="4"/>
      <c r="S12" s="4"/>
      <c r="T12" s="4"/>
      <c r="U12" s="4"/>
      <c r="V12" s="4"/>
      <c r="W12" s="4"/>
      <c r="X12" s="4"/>
      <c r="Y12" s="4"/>
      <c r="Z12" s="4"/>
    </row>
    <row r="13">
      <c r="A13" s="32" t="s">
        <v>338</v>
      </c>
      <c r="B13" s="33">
        <f>COUNTIF(C5:C9,"Yes")</f>
        <v>0</v>
      </c>
      <c r="C13" s="4"/>
      <c r="D13" s="4"/>
      <c r="E13" s="4"/>
      <c r="F13" s="4"/>
      <c r="G13" s="4"/>
      <c r="H13" s="4"/>
      <c r="I13" s="4"/>
      <c r="J13" s="4"/>
      <c r="K13" s="4"/>
      <c r="L13" s="4"/>
      <c r="M13" s="4"/>
      <c r="N13" s="4"/>
      <c r="O13" s="4"/>
      <c r="P13" s="4"/>
      <c r="Q13" s="4"/>
      <c r="R13" s="4"/>
      <c r="S13" s="4"/>
      <c r="T13" s="4"/>
      <c r="U13" s="4"/>
      <c r="V13" s="4"/>
      <c r="W13" s="4"/>
      <c r="X13" s="4"/>
      <c r="Y13" s="4"/>
      <c r="Z13" s="4"/>
    </row>
    <row r="14">
      <c r="A14" s="15" t="s">
        <v>339</v>
      </c>
      <c r="B14" s="34" t="str">
        <f>IF(B13&gt;=2,"POSITIVE SCREEN — likely case of anorexia or bulimia; refer for further assessment","Negative screen")</f>
        <v>Negative screen</v>
      </c>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11" t="s">
        <v>341</v>
      </c>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A1:D1"/>
    <mergeCell ref="A2:D2"/>
    <mergeCell ref="A11:D11"/>
    <mergeCell ref="A16:D16"/>
  </mergeCells>
  <dataValidations>
    <dataValidation type="list" allowBlank="1" showInputMessage="1" showErrorMessage="1" prompt="Invalid entry - Choose one of: Yes,No" sqref="C5:C9">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0.0"/>
  </cols>
  <sheetData>
    <row r="1">
      <c r="A1" s="2" t="s">
        <v>351</v>
      </c>
      <c r="F1" s="4"/>
      <c r="G1" s="4"/>
      <c r="H1" s="4"/>
      <c r="I1" s="4"/>
      <c r="J1" s="4"/>
      <c r="K1" s="4"/>
      <c r="L1" s="4"/>
      <c r="M1" s="4"/>
      <c r="N1" s="4"/>
      <c r="O1" s="4"/>
      <c r="P1" s="4"/>
      <c r="Q1" s="4"/>
      <c r="R1" s="4"/>
      <c r="S1" s="4"/>
      <c r="T1" s="4"/>
      <c r="U1" s="4"/>
      <c r="V1" s="4"/>
      <c r="W1" s="4"/>
      <c r="X1" s="4"/>
      <c r="Y1" s="4"/>
      <c r="Z1" s="4"/>
    </row>
    <row r="2">
      <c r="A2" s="8" t="s">
        <v>352</v>
      </c>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31" t="s">
        <v>353</v>
      </c>
      <c r="F4" s="4"/>
      <c r="G4" s="4"/>
      <c r="H4" s="4"/>
      <c r="I4" s="4"/>
      <c r="J4" s="4"/>
      <c r="K4" s="4"/>
      <c r="L4" s="4"/>
      <c r="M4" s="4"/>
      <c r="N4" s="4"/>
      <c r="O4" s="4"/>
      <c r="P4" s="4"/>
      <c r="Q4" s="4"/>
      <c r="R4" s="4"/>
      <c r="S4" s="4"/>
      <c r="T4" s="4"/>
      <c r="U4" s="4"/>
      <c r="V4" s="4"/>
      <c r="W4" s="4"/>
      <c r="X4" s="4"/>
      <c r="Y4" s="4"/>
      <c r="Z4" s="4"/>
    </row>
    <row r="5">
      <c r="A5" s="8" t="s">
        <v>354</v>
      </c>
      <c r="F5" s="4"/>
      <c r="G5" s="4"/>
      <c r="H5" s="4"/>
      <c r="I5" s="4"/>
      <c r="J5" s="4"/>
      <c r="K5" s="4"/>
      <c r="L5" s="4"/>
      <c r="M5" s="4"/>
      <c r="N5" s="4"/>
      <c r="O5" s="4"/>
      <c r="P5" s="4"/>
      <c r="Q5" s="4"/>
      <c r="R5" s="4"/>
      <c r="S5" s="4"/>
      <c r="T5" s="4"/>
      <c r="U5" s="4"/>
      <c r="V5" s="4"/>
      <c r="W5" s="4"/>
      <c r="X5" s="4"/>
      <c r="Y5" s="4"/>
      <c r="Z5" s="4"/>
    </row>
    <row r="6">
      <c r="A6" s="14" t="s">
        <v>7</v>
      </c>
      <c r="B6" s="14" t="s">
        <v>10</v>
      </c>
      <c r="C6" s="14" t="s">
        <v>12</v>
      </c>
      <c r="D6" s="14" t="s">
        <v>306</v>
      </c>
      <c r="E6" s="17"/>
      <c r="F6" s="4"/>
      <c r="G6" s="4"/>
      <c r="H6" s="4"/>
      <c r="I6" s="4"/>
      <c r="J6" s="4"/>
      <c r="K6" s="4"/>
      <c r="L6" s="4"/>
      <c r="M6" s="4"/>
      <c r="N6" s="4"/>
      <c r="O6" s="4"/>
      <c r="P6" s="4"/>
      <c r="Q6" s="4"/>
      <c r="R6" s="4"/>
      <c r="S6" s="4"/>
      <c r="T6" s="4"/>
      <c r="U6" s="4"/>
      <c r="V6" s="4"/>
      <c r="W6" s="4"/>
      <c r="X6" s="4"/>
      <c r="Y6" s="4"/>
      <c r="Z6" s="4"/>
    </row>
    <row r="7">
      <c r="A7" s="20">
        <v>1.0</v>
      </c>
      <c r="B7" s="23" t="s">
        <v>355</v>
      </c>
      <c r="C7" s="24"/>
      <c r="D7" s="48" t="str">
        <f t="shared" ref="D7:D12" si="1">IFERROR(IFS(C7="Always",100,C7="To a very high degree",100,C7="Often",75,C7="To a high degree",75,C7="Sometimes",50,C7="Somewhat",50,C7="Seldom",25,C7="To a low degree",25,C7="Never/almost never",0,C7="To a very low degree",0),"")</f>
        <v/>
      </c>
      <c r="E7" s="4"/>
      <c r="F7" s="4"/>
      <c r="G7" s="4"/>
      <c r="H7" s="4"/>
      <c r="I7" s="4"/>
      <c r="J7" s="4"/>
      <c r="K7" s="4"/>
      <c r="L7" s="4"/>
      <c r="M7" s="4"/>
      <c r="N7" s="4"/>
      <c r="O7" s="4"/>
      <c r="P7" s="4"/>
      <c r="Q7" s="4"/>
      <c r="R7" s="4"/>
      <c r="S7" s="4"/>
      <c r="T7" s="4"/>
      <c r="U7" s="4"/>
      <c r="V7" s="4"/>
      <c r="W7" s="4"/>
      <c r="X7" s="4"/>
      <c r="Y7" s="4"/>
      <c r="Z7" s="4"/>
    </row>
    <row r="8">
      <c r="A8" s="20">
        <v>2.0</v>
      </c>
      <c r="B8" s="23" t="s">
        <v>356</v>
      </c>
      <c r="C8" s="24"/>
      <c r="D8" s="48" t="str">
        <f t="shared" si="1"/>
        <v/>
      </c>
      <c r="E8" s="4"/>
      <c r="F8" s="4"/>
      <c r="G8" s="4"/>
      <c r="H8" s="4"/>
      <c r="I8" s="4"/>
      <c r="J8" s="4"/>
      <c r="K8" s="4"/>
      <c r="L8" s="4"/>
      <c r="M8" s="4"/>
      <c r="N8" s="4"/>
      <c r="O8" s="4"/>
      <c r="P8" s="4"/>
      <c r="Q8" s="4"/>
      <c r="R8" s="4"/>
      <c r="S8" s="4"/>
      <c r="T8" s="4"/>
      <c r="U8" s="4"/>
      <c r="V8" s="4"/>
      <c r="W8" s="4"/>
      <c r="X8" s="4"/>
      <c r="Y8" s="4"/>
      <c r="Z8" s="4"/>
    </row>
    <row r="9">
      <c r="A9" s="20">
        <v>3.0</v>
      </c>
      <c r="B9" s="23" t="s">
        <v>357</v>
      </c>
      <c r="C9" s="24"/>
      <c r="D9" s="48" t="str">
        <f t="shared" si="1"/>
        <v/>
      </c>
      <c r="E9" s="4"/>
      <c r="F9" s="4"/>
      <c r="G9" s="4"/>
      <c r="H9" s="4"/>
      <c r="I9" s="4"/>
      <c r="J9" s="4"/>
      <c r="K9" s="4"/>
      <c r="L9" s="4"/>
      <c r="M9" s="4"/>
      <c r="N9" s="4"/>
      <c r="O9" s="4"/>
      <c r="P9" s="4"/>
      <c r="Q9" s="4"/>
      <c r="R9" s="4"/>
      <c r="S9" s="4"/>
      <c r="T9" s="4"/>
      <c r="U9" s="4"/>
      <c r="V9" s="4"/>
      <c r="W9" s="4"/>
      <c r="X9" s="4"/>
      <c r="Y9" s="4"/>
      <c r="Z9" s="4"/>
    </row>
    <row r="10">
      <c r="A10" s="20">
        <v>4.0</v>
      </c>
      <c r="B10" s="23" t="s">
        <v>358</v>
      </c>
      <c r="C10" s="24"/>
      <c r="D10" s="48" t="str">
        <f t="shared" si="1"/>
        <v/>
      </c>
      <c r="E10" s="4"/>
      <c r="F10" s="4"/>
      <c r="G10" s="4"/>
      <c r="H10" s="4"/>
      <c r="I10" s="4"/>
      <c r="J10" s="4"/>
      <c r="K10" s="4"/>
      <c r="L10" s="4"/>
      <c r="M10" s="4"/>
      <c r="N10" s="4"/>
      <c r="O10" s="4"/>
      <c r="P10" s="4"/>
      <c r="Q10" s="4"/>
      <c r="R10" s="4"/>
      <c r="S10" s="4"/>
      <c r="T10" s="4"/>
      <c r="U10" s="4"/>
      <c r="V10" s="4"/>
      <c r="W10" s="4"/>
      <c r="X10" s="4"/>
      <c r="Y10" s="4"/>
      <c r="Z10" s="4"/>
    </row>
    <row r="11">
      <c r="A11" s="20">
        <v>5.0</v>
      </c>
      <c r="B11" s="23" t="s">
        <v>359</v>
      </c>
      <c r="C11" s="24"/>
      <c r="D11" s="48" t="str">
        <f t="shared" si="1"/>
        <v/>
      </c>
      <c r="E11" s="4"/>
      <c r="F11" s="4"/>
      <c r="G11" s="4"/>
      <c r="H11" s="4"/>
      <c r="I11" s="4"/>
      <c r="J11" s="4"/>
      <c r="K11" s="4"/>
      <c r="L11" s="4"/>
      <c r="M11" s="4"/>
      <c r="N11" s="4"/>
      <c r="O11" s="4"/>
      <c r="P11" s="4"/>
      <c r="Q11" s="4"/>
      <c r="R11" s="4"/>
      <c r="S11" s="4"/>
      <c r="T11" s="4"/>
      <c r="U11" s="4"/>
      <c r="V11" s="4"/>
      <c r="W11" s="4"/>
      <c r="X11" s="4"/>
      <c r="Y11" s="4"/>
      <c r="Z11" s="4"/>
    </row>
    <row r="12">
      <c r="A12" s="20">
        <v>6.0</v>
      </c>
      <c r="B12" s="23" t="s">
        <v>360</v>
      </c>
      <c r="C12" s="24"/>
      <c r="D12" s="48" t="str">
        <f t="shared" si="1"/>
        <v/>
      </c>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15" t="s">
        <v>361</v>
      </c>
      <c r="B14" s="50" t="str">
        <f>IFERROR(AVERAGE(D7:D12),"Not enough items answered")</f>
        <v>Not enough items answered</v>
      </c>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31" t="s">
        <v>362</v>
      </c>
      <c r="F16" s="4"/>
      <c r="G16" s="4"/>
      <c r="H16" s="4"/>
      <c r="I16" s="4"/>
      <c r="J16" s="4"/>
      <c r="K16" s="4"/>
      <c r="L16" s="4"/>
      <c r="M16" s="4"/>
      <c r="N16" s="4"/>
      <c r="O16" s="4"/>
      <c r="P16" s="4"/>
      <c r="Q16" s="4"/>
      <c r="R16" s="4"/>
      <c r="S16" s="4"/>
      <c r="T16" s="4"/>
      <c r="U16" s="4"/>
      <c r="V16" s="4"/>
      <c r="W16" s="4"/>
      <c r="X16" s="4"/>
      <c r="Y16" s="4"/>
      <c r="Z16" s="4"/>
    </row>
    <row r="17">
      <c r="A17" s="8" t="s">
        <v>363</v>
      </c>
      <c r="F17" s="4"/>
      <c r="G17" s="4"/>
      <c r="H17" s="4"/>
      <c r="I17" s="4"/>
      <c r="J17" s="4"/>
      <c r="K17" s="4"/>
      <c r="L17" s="4"/>
      <c r="M17" s="4"/>
      <c r="N17" s="4"/>
      <c r="O17" s="4"/>
      <c r="P17" s="4"/>
      <c r="Q17" s="4"/>
      <c r="R17" s="4"/>
      <c r="S17" s="4"/>
      <c r="T17" s="4"/>
      <c r="U17" s="4"/>
      <c r="V17" s="4"/>
      <c r="W17" s="4"/>
      <c r="X17" s="4"/>
      <c r="Y17" s="4"/>
      <c r="Z17" s="4"/>
    </row>
    <row r="18">
      <c r="A18" s="14" t="s">
        <v>7</v>
      </c>
      <c r="B18" s="14" t="s">
        <v>10</v>
      </c>
      <c r="C18" s="14" t="s">
        <v>12</v>
      </c>
      <c r="D18" s="14" t="s">
        <v>306</v>
      </c>
      <c r="E18" s="17"/>
      <c r="F18" s="4"/>
      <c r="G18" s="4"/>
      <c r="H18" s="4"/>
      <c r="I18" s="4"/>
      <c r="J18" s="4"/>
      <c r="K18" s="4"/>
      <c r="L18" s="4"/>
      <c r="M18" s="4"/>
      <c r="N18" s="4"/>
      <c r="O18" s="4"/>
      <c r="P18" s="4"/>
      <c r="Q18" s="4"/>
      <c r="R18" s="4"/>
      <c r="S18" s="4"/>
      <c r="T18" s="4"/>
      <c r="U18" s="4"/>
      <c r="V18" s="4"/>
      <c r="W18" s="4"/>
      <c r="X18" s="4"/>
      <c r="Y18" s="4"/>
      <c r="Z18" s="4"/>
    </row>
    <row r="19">
      <c r="A19" s="20">
        <v>1.0</v>
      </c>
      <c r="B19" s="23" t="s">
        <v>364</v>
      </c>
      <c r="C19" s="24"/>
      <c r="D19" s="48" t="str">
        <f t="shared" ref="D19:D24" si="2">IFERROR(IFS(C19="Always",100,C19="To a very high degree",100,C19="Often",75,C19="To a high degree",75,C19="Sometimes",50,C19="Somewhat",50,C19="Seldom",25,C19="To a low degree",25,C19="Never/almost never",0,C19="To a very low degree",0),"")</f>
        <v/>
      </c>
      <c r="E19" s="4"/>
      <c r="F19" s="4"/>
      <c r="G19" s="4"/>
      <c r="H19" s="4"/>
      <c r="I19" s="4"/>
      <c r="J19" s="4"/>
      <c r="K19" s="4"/>
      <c r="L19" s="4"/>
      <c r="M19" s="4"/>
      <c r="N19" s="4"/>
      <c r="O19" s="4"/>
      <c r="P19" s="4"/>
      <c r="Q19" s="4"/>
      <c r="R19" s="4"/>
      <c r="S19" s="4"/>
      <c r="T19" s="4"/>
      <c r="U19" s="4"/>
      <c r="V19" s="4"/>
      <c r="W19" s="4"/>
      <c r="X19" s="4"/>
      <c r="Y19" s="4"/>
      <c r="Z19" s="4"/>
    </row>
    <row r="20">
      <c r="A20" s="20">
        <v>2.0</v>
      </c>
      <c r="B20" s="23" t="s">
        <v>365</v>
      </c>
      <c r="C20" s="24"/>
      <c r="D20" s="48" t="str">
        <f t="shared" si="2"/>
        <v/>
      </c>
      <c r="E20" s="4"/>
      <c r="F20" s="4"/>
      <c r="G20" s="4"/>
      <c r="H20" s="4"/>
      <c r="I20" s="4"/>
      <c r="J20" s="4"/>
      <c r="K20" s="4"/>
      <c r="L20" s="4"/>
      <c r="M20" s="4"/>
      <c r="N20" s="4"/>
      <c r="O20" s="4"/>
      <c r="P20" s="4"/>
      <c r="Q20" s="4"/>
      <c r="R20" s="4"/>
      <c r="S20" s="4"/>
      <c r="T20" s="4"/>
      <c r="U20" s="4"/>
      <c r="V20" s="4"/>
      <c r="W20" s="4"/>
      <c r="X20" s="4"/>
      <c r="Y20" s="4"/>
      <c r="Z20" s="4"/>
    </row>
    <row r="21">
      <c r="A21" s="20">
        <v>3.0</v>
      </c>
      <c r="B21" s="23" t="s">
        <v>366</v>
      </c>
      <c r="C21" s="24"/>
      <c r="D21" s="48" t="str">
        <f t="shared" si="2"/>
        <v/>
      </c>
      <c r="E21" s="4"/>
      <c r="F21" s="4"/>
      <c r="G21" s="4"/>
      <c r="H21" s="4"/>
      <c r="I21" s="4"/>
      <c r="J21" s="4"/>
      <c r="K21" s="4"/>
      <c r="L21" s="4"/>
      <c r="M21" s="4"/>
      <c r="N21" s="4"/>
      <c r="O21" s="4"/>
      <c r="P21" s="4"/>
      <c r="Q21" s="4"/>
      <c r="R21" s="4"/>
      <c r="S21" s="4"/>
      <c r="T21" s="4"/>
      <c r="U21" s="4"/>
      <c r="V21" s="4"/>
      <c r="W21" s="4"/>
      <c r="X21" s="4"/>
      <c r="Y21" s="4"/>
      <c r="Z21" s="4"/>
    </row>
    <row r="22">
      <c r="A22" s="20">
        <v>4.0</v>
      </c>
      <c r="B22" s="23" t="s">
        <v>367</v>
      </c>
      <c r="C22" s="24"/>
      <c r="D22" s="48" t="str">
        <f t="shared" si="2"/>
        <v/>
      </c>
      <c r="E22" s="4"/>
      <c r="F22" s="4"/>
      <c r="G22" s="4"/>
      <c r="H22" s="4"/>
      <c r="I22" s="4"/>
      <c r="J22" s="4"/>
      <c r="K22" s="4"/>
      <c r="L22" s="4"/>
      <c r="M22" s="4"/>
      <c r="N22" s="4"/>
      <c r="O22" s="4"/>
      <c r="P22" s="4"/>
      <c r="Q22" s="4"/>
      <c r="R22" s="4"/>
      <c r="S22" s="4"/>
      <c r="T22" s="4"/>
      <c r="U22" s="4"/>
      <c r="V22" s="4"/>
      <c r="W22" s="4"/>
      <c r="X22" s="4"/>
      <c r="Y22" s="4"/>
      <c r="Z22" s="4"/>
    </row>
    <row r="23">
      <c r="A23" s="20">
        <v>5.0</v>
      </c>
      <c r="B23" s="23" t="s">
        <v>368</v>
      </c>
      <c r="C23" s="24"/>
      <c r="D23" s="48" t="str">
        <f t="shared" si="2"/>
        <v/>
      </c>
      <c r="E23" s="4"/>
      <c r="F23" s="4"/>
      <c r="G23" s="4"/>
      <c r="H23" s="4"/>
      <c r="I23" s="4"/>
      <c r="J23" s="4"/>
      <c r="K23" s="4"/>
      <c r="L23" s="4"/>
      <c r="M23" s="4"/>
      <c r="N23" s="4"/>
      <c r="O23" s="4"/>
      <c r="P23" s="4"/>
      <c r="Q23" s="4"/>
      <c r="R23" s="4"/>
      <c r="S23" s="4"/>
      <c r="T23" s="4"/>
      <c r="U23" s="4"/>
      <c r="V23" s="4"/>
      <c r="W23" s="4"/>
      <c r="X23" s="4"/>
      <c r="Y23" s="4"/>
      <c r="Z23" s="4"/>
    </row>
    <row r="24">
      <c r="A24" s="20">
        <v>6.0</v>
      </c>
      <c r="B24" s="23" t="s">
        <v>369</v>
      </c>
      <c r="C24" s="24"/>
      <c r="D24" s="48" t="str">
        <f t="shared" si="2"/>
        <v/>
      </c>
      <c r="E24" s="4"/>
      <c r="F24" s="4"/>
      <c r="G24" s="4"/>
      <c r="H24" s="4"/>
      <c r="I24" s="4"/>
      <c r="J24" s="4"/>
      <c r="K24" s="4"/>
      <c r="L24" s="4"/>
      <c r="M24" s="4"/>
      <c r="N24" s="4"/>
      <c r="O24" s="4"/>
      <c r="P24" s="4"/>
      <c r="Q24" s="4"/>
      <c r="R24" s="4"/>
      <c r="S24" s="4"/>
      <c r="T24" s="4"/>
      <c r="U24" s="4"/>
      <c r="V24" s="4"/>
      <c r="W24" s="4"/>
      <c r="X24" s="4"/>
      <c r="Y24" s="4"/>
      <c r="Z24" s="4"/>
    </row>
    <row r="25">
      <c r="A25" s="20">
        <v>7.0</v>
      </c>
      <c r="B25" s="23" t="s">
        <v>370</v>
      </c>
      <c r="C25" s="24"/>
      <c r="D25" s="48" t="str">
        <f>IFERROR(IFS(C25="Always",0,C25="Often",25,C25="Sometimes",50,C25="Seldom",75,C25="Never/almost never",100),"")</f>
        <v/>
      </c>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15" t="s">
        <v>371</v>
      </c>
      <c r="B27" s="50" t="str">
        <f>IFERROR(AVERAGE(D19:D25),"Not enough items answered")</f>
        <v>Not enough items answered</v>
      </c>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31" t="s">
        <v>372</v>
      </c>
      <c r="F29" s="4"/>
      <c r="G29" s="4"/>
      <c r="H29" s="4"/>
      <c r="I29" s="4"/>
      <c r="J29" s="4"/>
      <c r="K29" s="4"/>
      <c r="L29" s="4"/>
      <c r="M29" s="4"/>
      <c r="N29" s="4"/>
      <c r="O29" s="4"/>
      <c r="P29" s="4"/>
      <c r="Q29" s="4"/>
      <c r="R29" s="4"/>
      <c r="S29" s="4"/>
      <c r="T29" s="4"/>
      <c r="U29" s="4"/>
      <c r="V29" s="4"/>
      <c r="W29" s="4"/>
      <c r="X29" s="4"/>
      <c r="Y29" s="4"/>
      <c r="Z29" s="4"/>
    </row>
    <row r="30">
      <c r="A30" s="8" t="s">
        <v>373</v>
      </c>
      <c r="F30" s="4"/>
      <c r="G30" s="4"/>
      <c r="H30" s="4"/>
      <c r="I30" s="4"/>
      <c r="J30" s="4"/>
      <c r="K30" s="4"/>
      <c r="L30" s="4"/>
      <c r="M30" s="4"/>
      <c r="N30" s="4"/>
      <c r="O30" s="4"/>
      <c r="P30" s="4"/>
      <c r="Q30" s="4"/>
      <c r="R30" s="4"/>
      <c r="S30" s="4"/>
      <c r="T30" s="4"/>
      <c r="U30" s="4"/>
      <c r="V30" s="4"/>
      <c r="W30" s="4"/>
      <c r="X30" s="4"/>
      <c r="Y30" s="4"/>
      <c r="Z30" s="4"/>
    </row>
    <row r="31">
      <c r="A31" s="14" t="s">
        <v>7</v>
      </c>
      <c r="B31" s="14" t="s">
        <v>10</v>
      </c>
      <c r="C31" s="14" t="s">
        <v>12</v>
      </c>
      <c r="D31" s="14" t="s">
        <v>306</v>
      </c>
      <c r="E31" s="17"/>
      <c r="F31" s="4"/>
      <c r="G31" s="4"/>
      <c r="H31" s="4"/>
      <c r="I31" s="4"/>
      <c r="J31" s="4"/>
      <c r="K31" s="4"/>
      <c r="L31" s="4"/>
      <c r="M31" s="4"/>
      <c r="N31" s="4"/>
      <c r="O31" s="4"/>
      <c r="P31" s="4"/>
      <c r="Q31" s="4"/>
      <c r="R31" s="4"/>
      <c r="S31" s="4"/>
      <c r="T31" s="4"/>
      <c r="U31" s="4"/>
      <c r="V31" s="4"/>
      <c r="W31" s="4"/>
      <c r="X31" s="4"/>
      <c r="Y31" s="4"/>
      <c r="Z31" s="4"/>
    </row>
    <row r="32">
      <c r="A32" s="20">
        <v>1.0</v>
      </c>
      <c r="B32" s="23" t="s">
        <v>374</v>
      </c>
      <c r="C32" s="24"/>
      <c r="D32" s="48" t="str">
        <f t="shared" ref="D32:D37" si="3">IFERROR(IFS(C32="Always",100,C32="To a very high degree",100,C32="Often",75,C32="To a high degree",75,C32="Sometimes",50,C32="Somewhat",50,C32="Seldom",25,C32="To a low degree",25,C32="Never/almost never",0,C32="To a very low degree",0),"")</f>
        <v/>
      </c>
      <c r="E32" s="4"/>
      <c r="F32" s="4"/>
      <c r="G32" s="4"/>
      <c r="H32" s="4"/>
      <c r="I32" s="4"/>
      <c r="J32" s="4"/>
      <c r="K32" s="4"/>
      <c r="L32" s="4"/>
      <c r="M32" s="4"/>
      <c r="N32" s="4"/>
      <c r="O32" s="4"/>
      <c r="P32" s="4"/>
      <c r="Q32" s="4"/>
      <c r="R32" s="4"/>
      <c r="S32" s="4"/>
      <c r="T32" s="4"/>
      <c r="U32" s="4"/>
      <c r="V32" s="4"/>
      <c r="W32" s="4"/>
      <c r="X32" s="4"/>
      <c r="Y32" s="4"/>
      <c r="Z32" s="4"/>
    </row>
    <row r="33">
      <c r="A33" s="20">
        <v>2.0</v>
      </c>
      <c r="B33" s="23" t="s">
        <v>375</v>
      </c>
      <c r="C33" s="24"/>
      <c r="D33" s="48" t="str">
        <f t="shared" si="3"/>
        <v/>
      </c>
      <c r="E33" s="4"/>
      <c r="F33" s="4"/>
      <c r="G33" s="4"/>
      <c r="H33" s="4"/>
      <c r="I33" s="4"/>
      <c r="J33" s="4"/>
      <c r="K33" s="4"/>
      <c r="L33" s="4"/>
      <c r="M33" s="4"/>
      <c r="N33" s="4"/>
      <c r="O33" s="4"/>
      <c r="P33" s="4"/>
      <c r="Q33" s="4"/>
      <c r="R33" s="4"/>
      <c r="S33" s="4"/>
      <c r="T33" s="4"/>
      <c r="U33" s="4"/>
      <c r="V33" s="4"/>
      <c r="W33" s="4"/>
      <c r="X33" s="4"/>
      <c r="Y33" s="4"/>
      <c r="Z33" s="4"/>
    </row>
    <row r="34">
      <c r="A34" s="20">
        <v>3.0</v>
      </c>
      <c r="B34" s="23" t="s">
        <v>376</v>
      </c>
      <c r="C34" s="24"/>
      <c r="D34" s="48" t="str">
        <f t="shared" si="3"/>
        <v/>
      </c>
      <c r="E34" s="4"/>
      <c r="F34" s="4"/>
      <c r="G34" s="4"/>
      <c r="H34" s="4"/>
      <c r="I34" s="4"/>
      <c r="J34" s="4"/>
      <c r="K34" s="4"/>
      <c r="L34" s="4"/>
      <c r="M34" s="4"/>
      <c r="N34" s="4"/>
      <c r="O34" s="4"/>
      <c r="P34" s="4"/>
      <c r="Q34" s="4"/>
      <c r="R34" s="4"/>
      <c r="S34" s="4"/>
      <c r="T34" s="4"/>
      <c r="U34" s="4"/>
      <c r="V34" s="4"/>
      <c r="W34" s="4"/>
      <c r="X34" s="4"/>
      <c r="Y34" s="4"/>
      <c r="Z34" s="4"/>
    </row>
    <row r="35">
      <c r="A35" s="20">
        <v>4.0</v>
      </c>
      <c r="B35" s="23" t="s">
        <v>377</v>
      </c>
      <c r="C35" s="24"/>
      <c r="D35" s="48" t="str">
        <f t="shared" si="3"/>
        <v/>
      </c>
      <c r="E35" s="4"/>
      <c r="F35" s="4"/>
      <c r="G35" s="4"/>
      <c r="H35" s="4"/>
      <c r="I35" s="4"/>
      <c r="J35" s="4"/>
      <c r="K35" s="4"/>
      <c r="L35" s="4"/>
      <c r="M35" s="4"/>
      <c r="N35" s="4"/>
      <c r="O35" s="4"/>
      <c r="P35" s="4"/>
      <c r="Q35" s="4"/>
      <c r="R35" s="4"/>
      <c r="S35" s="4"/>
      <c r="T35" s="4"/>
      <c r="U35" s="4"/>
      <c r="V35" s="4"/>
      <c r="W35" s="4"/>
      <c r="X35" s="4"/>
      <c r="Y35" s="4"/>
      <c r="Z35" s="4"/>
    </row>
    <row r="36">
      <c r="A36" s="20">
        <v>5.0</v>
      </c>
      <c r="B36" s="23" t="s">
        <v>378</v>
      </c>
      <c r="C36" s="24"/>
      <c r="D36" s="48" t="str">
        <f t="shared" si="3"/>
        <v/>
      </c>
      <c r="E36" s="4"/>
      <c r="F36" s="4"/>
      <c r="G36" s="4"/>
      <c r="H36" s="4"/>
      <c r="I36" s="4"/>
      <c r="J36" s="4"/>
      <c r="K36" s="4"/>
      <c r="L36" s="4"/>
      <c r="M36" s="4"/>
      <c r="N36" s="4"/>
      <c r="O36" s="4"/>
      <c r="P36" s="4"/>
      <c r="Q36" s="4"/>
      <c r="R36" s="4"/>
      <c r="S36" s="4"/>
      <c r="T36" s="4"/>
      <c r="U36" s="4"/>
      <c r="V36" s="4"/>
      <c r="W36" s="4"/>
      <c r="X36" s="4"/>
      <c r="Y36" s="4"/>
      <c r="Z36" s="4"/>
    </row>
    <row r="37">
      <c r="A37" s="20">
        <v>6.0</v>
      </c>
      <c r="B37" s="23" t="s">
        <v>379</v>
      </c>
      <c r="C37" s="24"/>
      <c r="D37" s="48" t="str">
        <f t="shared" si="3"/>
        <v/>
      </c>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15" t="s">
        <v>380</v>
      </c>
      <c r="B39" s="50" t="str">
        <f>IFERROR(AVERAGE(D32:D37),"Not enough items answered")</f>
        <v>Not enough items answered</v>
      </c>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31" t="s">
        <v>381</v>
      </c>
      <c r="F41" s="4"/>
      <c r="G41" s="4"/>
      <c r="H41" s="4"/>
      <c r="I41" s="4"/>
      <c r="J41" s="4"/>
      <c r="K41" s="4"/>
      <c r="L41" s="4"/>
      <c r="M41" s="4"/>
      <c r="N41" s="4"/>
      <c r="O41" s="4"/>
      <c r="P41" s="4"/>
      <c r="Q41" s="4"/>
      <c r="R41" s="4"/>
      <c r="S41" s="4"/>
      <c r="T41" s="4"/>
      <c r="U41" s="4"/>
      <c r="V41" s="4"/>
      <c r="W41" s="4"/>
      <c r="X41" s="4"/>
      <c r="Y41" s="4"/>
      <c r="Z41" s="4"/>
    </row>
    <row r="42">
      <c r="A42" s="51" t="s">
        <v>382</v>
      </c>
      <c r="F42" s="4"/>
      <c r="G42" s="4"/>
      <c r="H42" s="4"/>
      <c r="I42" s="4"/>
      <c r="J42" s="4"/>
      <c r="K42" s="4"/>
      <c r="L42" s="4"/>
      <c r="M42" s="4"/>
      <c r="N42" s="4"/>
      <c r="O42" s="4"/>
      <c r="P42" s="4"/>
      <c r="Q42" s="4"/>
      <c r="R42" s="4"/>
      <c r="S42" s="4"/>
      <c r="T42" s="4"/>
      <c r="U42" s="4"/>
      <c r="V42" s="4"/>
      <c r="W42" s="4"/>
      <c r="X42" s="4"/>
      <c r="Y42" s="4"/>
      <c r="Z42" s="4"/>
    </row>
    <row r="43">
      <c r="F43" s="4"/>
      <c r="G43" s="4"/>
      <c r="H43" s="4"/>
      <c r="I43" s="4"/>
      <c r="J43" s="4"/>
      <c r="K43" s="4"/>
      <c r="L43" s="4"/>
      <c r="M43" s="4"/>
      <c r="N43" s="4"/>
      <c r="O43" s="4"/>
      <c r="P43" s="4"/>
      <c r="Q43" s="4"/>
      <c r="R43" s="4"/>
      <c r="S43" s="4"/>
      <c r="T43" s="4"/>
      <c r="U43" s="4"/>
      <c r="V43" s="4"/>
      <c r="W43" s="4"/>
      <c r="X43" s="4"/>
      <c r="Y43" s="4"/>
      <c r="Z43" s="4"/>
    </row>
    <row r="44">
      <c r="F44" s="4"/>
      <c r="G44" s="4"/>
      <c r="H44" s="4"/>
      <c r="I44" s="4"/>
      <c r="J44" s="4"/>
      <c r="K44" s="4"/>
      <c r="L44" s="4"/>
      <c r="M44" s="4"/>
      <c r="N44" s="4"/>
      <c r="O44" s="4"/>
      <c r="P44" s="4"/>
      <c r="Q44" s="4"/>
      <c r="R44" s="4"/>
      <c r="S44" s="4"/>
      <c r="T44" s="4"/>
      <c r="U44" s="4"/>
      <c r="V44" s="4"/>
      <c r="W44" s="4"/>
      <c r="X44" s="4"/>
      <c r="Y44" s="4"/>
      <c r="Z44" s="4"/>
    </row>
    <row r="45">
      <c r="A45" s="32" t="s">
        <v>383</v>
      </c>
      <c r="B45" s="34" t="str">
        <f>IF(ISNUMBER(B14),IF(B14&gt;=50,"Elevated","Not elevated"),"-")</f>
        <v>-</v>
      </c>
      <c r="C45" s="4"/>
      <c r="D45" s="4"/>
      <c r="E45" s="4"/>
      <c r="F45" s="4"/>
      <c r="G45" s="4"/>
      <c r="H45" s="4"/>
      <c r="I45" s="4"/>
      <c r="J45" s="4"/>
      <c r="K45" s="4"/>
      <c r="L45" s="4"/>
      <c r="M45" s="4"/>
      <c r="N45" s="4"/>
      <c r="O45" s="4"/>
      <c r="P45" s="4"/>
      <c r="Q45" s="4"/>
      <c r="R45" s="4"/>
      <c r="S45" s="4"/>
      <c r="T45" s="4"/>
      <c r="U45" s="4"/>
      <c r="V45" s="4"/>
      <c r="W45" s="4"/>
      <c r="X45" s="4"/>
      <c r="Y45" s="4"/>
      <c r="Z45" s="4"/>
    </row>
    <row r="46">
      <c r="A46" s="32" t="s">
        <v>384</v>
      </c>
      <c r="B46" s="34" t="str">
        <f>IF(ISNUMBER(B27),IF(B27&gt;=50,"Elevated","Not elevated"),"-")</f>
        <v>-</v>
      </c>
      <c r="C46" s="4"/>
      <c r="D46" s="4"/>
      <c r="E46" s="4"/>
      <c r="F46" s="4"/>
      <c r="G46" s="4"/>
      <c r="H46" s="4"/>
      <c r="I46" s="4"/>
      <c r="J46" s="4"/>
      <c r="K46" s="4"/>
      <c r="L46" s="4"/>
      <c r="M46" s="4"/>
      <c r="N46" s="4"/>
      <c r="O46" s="4"/>
      <c r="P46" s="4"/>
      <c r="Q46" s="4"/>
      <c r="R46" s="4"/>
      <c r="S46" s="4"/>
      <c r="T46" s="4"/>
      <c r="U46" s="4"/>
      <c r="V46" s="4"/>
      <c r="W46" s="4"/>
      <c r="X46" s="4"/>
      <c r="Y46" s="4"/>
      <c r="Z46" s="4"/>
    </row>
    <row r="47">
      <c r="A47" s="32" t="s">
        <v>385</v>
      </c>
      <c r="B47" s="34" t="str">
        <f>IF(ISNUMBER(B39),IF(B39&gt;=50,"Elevated","Not elevated"),"-")</f>
        <v>-</v>
      </c>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11" t="s">
        <v>386</v>
      </c>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1">
    <mergeCell ref="A30:E30"/>
    <mergeCell ref="A41:E41"/>
    <mergeCell ref="A42:E44"/>
    <mergeCell ref="A49:E49"/>
    <mergeCell ref="A1:E1"/>
    <mergeCell ref="A2:E2"/>
    <mergeCell ref="A4:E4"/>
    <mergeCell ref="A5:E5"/>
    <mergeCell ref="A16:E16"/>
    <mergeCell ref="A17:E17"/>
    <mergeCell ref="A29:E29"/>
  </mergeCells>
  <dataValidations>
    <dataValidation type="list" allowBlank="1" showInputMessage="1" showErrorMessage="1" prompt="Invalid entry - Choose one of: Always,Often,Sometimes,Seldom,Never/almost never" sqref="C7:C12 C22:C25 C36:C37">
      <formula1>"Always,Often,Sometimes,Seldom,Never/almost never"</formula1>
    </dataValidation>
    <dataValidation type="list" allowBlank="1" showInputMessage="1" showErrorMessage="1" prompt="Invalid entry - Choose one of: To a very high degree,To a high degree,Somewhat,To a low degree,To a very low degree" sqref="C19:C21 C32:C35">
      <formula1>"To a very high degree,To a high degree,Somewhat,To a low degree,To a very low degree"</formula1>
    </dataValidation>
  </dataValidations>
  <drawing r:id="rId1"/>
</worksheet>
</file>